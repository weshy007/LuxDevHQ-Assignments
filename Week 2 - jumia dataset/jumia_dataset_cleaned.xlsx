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UDIO\Downloads\"/>
    </mc:Choice>
  </mc:AlternateContent>
  <bookViews>
    <workbookView xWindow="0" yWindow="0" windowWidth="20490" windowHeight="8205" firstSheet="5" activeTab="9"/>
  </bookViews>
  <sheets>
    <sheet name="Top 5 rated" sheetId="5" r:id="rId1"/>
    <sheet name="Top 5 lowest rating" sheetId="11" r:id="rId2"/>
    <sheet name="top 10 discount" sheetId="6" r:id="rId3"/>
    <sheet name="Top 10 reviewed" sheetId="7" r:id="rId4"/>
    <sheet name="Avr rating and review" sheetId="8" r:id="rId5"/>
    <sheet name="Product performance" sheetId="12" r:id="rId6"/>
    <sheet name="Sheet3" sheetId="13" r:id="rId7"/>
    <sheet name="rating vs price" sheetId="14" r:id="rId8"/>
    <sheet name="Clean" sheetId="2" r:id="rId9"/>
    <sheet name="Dashboard" sheetId="10" r:id="rId10"/>
  </sheets>
  <definedNames>
    <definedName name="_xlnm._FilterDatabase" localSheetId="8" hidden="1">Clean!$A$1:$A$113</definedName>
    <definedName name="Slicer_Category_by_Discount">#N/A</definedName>
    <definedName name="Slicer_Product">#N/A</definedName>
    <definedName name="Slicer_Rating">#N/A</definedName>
  </definedNames>
  <calcPr calcId="162913"/>
  <pivotCaches>
    <pivotCache cacheId="8"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24" i="2" l="1"/>
  <c r="I121" i="2"/>
  <c r="B124" i="2" l="1"/>
  <c r="B121" i="2"/>
  <c r="C117" i="2" l="1"/>
  <c r="B117"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2" i="2"/>
  <c r="B1048576" i="2" l="1"/>
  <c r="D89" i="2"/>
  <c r="D73" i="2"/>
  <c r="D22" i="2"/>
  <c r="D75" i="2"/>
  <c r="D63" i="2"/>
  <c r="D85" i="2"/>
  <c r="D88" i="2"/>
  <c r="D82" i="2"/>
  <c r="D86" i="2"/>
  <c r="D50" i="2"/>
  <c r="D93" i="2"/>
  <c r="D102" i="2"/>
  <c r="D12" i="2"/>
  <c r="D91" i="2"/>
  <c r="D45" i="2"/>
  <c r="D81" i="2"/>
  <c r="D9" i="2"/>
  <c r="D4" i="2"/>
  <c r="D76" i="2"/>
  <c r="D40" i="2"/>
  <c r="D95" i="2"/>
  <c r="D97" i="2"/>
  <c r="D8" i="2"/>
  <c r="D11" i="2"/>
  <c r="D36" i="2"/>
  <c r="D80" i="2"/>
  <c r="D15" i="2"/>
  <c r="D44" i="2"/>
  <c r="D7" i="2"/>
  <c r="D71" i="2"/>
  <c r="D100" i="2"/>
  <c r="D42" i="2"/>
  <c r="D51" i="2"/>
  <c r="D60" i="2"/>
  <c r="D74" i="2"/>
  <c r="D55" i="2"/>
  <c r="D49" i="2"/>
  <c r="D65" i="2"/>
  <c r="D83" i="2"/>
  <c r="D5" i="2"/>
  <c r="D96" i="2"/>
  <c r="D87" i="2"/>
  <c r="D56" i="2"/>
  <c r="D34" i="2"/>
  <c r="D66" i="2"/>
  <c r="D67" i="2"/>
  <c r="D13" i="2"/>
  <c r="D10" i="2"/>
  <c r="D70" i="2"/>
  <c r="D48" i="2"/>
  <c r="D29" i="2"/>
  <c r="D64" i="2"/>
  <c r="D33" i="2"/>
  <c r="D94" i="2"/>
  <c r="D46" i="2"/>
  <c r="D20" i="2"/>
  <c r="D84" i="2"/>
  <c r="D90" i="2"/>
  <c r="D107" i="2"/>
  <c r="D113" i="2"/>
  <c r="D14" i="2"/>
  <c r="D68" i="2"/>
  <c r="D39" i="2"/>
  <c r="D53" i="2"/>
  <c r="D23" i="2"/>
  <c r="D24" i="2"/>
  <c r="D57" i="2"/>
  <c r="D72" i="2"/>
  <c r="D2" i="2"/>
  <c r="D41" i="2"/>
  <c r="D79" i="2"/>
  <c r="D25" i="2"/>
  <c r="D58" i="2"/>
  <c r="D61" i="2"/>
  <c r="D26" i="2"/>
  <c r="D27" i="2"/>
  <c r="D28" i="2"/>
  <c r="D59" i="2"/>
  <c r="D43" i="2"/>
  <c r="D16" i="2"/>
  <c r="D30" i="2"/>
  <c r="D31" i="2"/>
  <c r="D77" i="2"/>
  <c r="D17" i="2"/>
  <c r="D35" i="2"/>
  <c r="D3" i="2"/>
  <c r="D32" i="2"/>
  <c r="D104" i="2"/>
  <c r="D62" i="2"/>
  <c r="D69" i="2"/>
  <c r="D78" i="2"/>
  <c r="D105" i="2"/>
  <c r="D18" i="2"/>
  <c r="D54" i="2"/>
  <c r="D47" i="2"/>
  <c r="D106" i="2"/>
  <c r="D98" i="2"/>
  <c r="D101" i="2"/>
  <c r="D108" i="2"/>
  <c r="D92" i="2"/>
  <c r="D109" i="2"/>
  <c r="D37" i="2"/>
  <c r="D38" i="2"/>
  <c r="D110" i="2"/>
  <c r="D111" i="2"/>
  <c r="D52" i="2"/>
  <c r="D6" i="2"/>
  <c r="D112" i="2"/>
  <c r="D19" i="2"/>
  <c r="D103" i="2"/>
  <c r="D99" i="2"/>
  <c r="D21" i="2"/>
</calcChain>
</file>

<file path=xl/sharedStrings.xml><?xml version="1.0" encoding="utf-8"?>
<sst xmlns="http://schemas.openxmlformats.org/spreadsheetml/2006/main" count="523" uniqueCount="142">
  <si>
    <t>Product</t>
  </si>
  <si>
    <t>Current price</t>
  </si>
  <si>
    <t>old price</t>
  </si>
  <si>
    <t>Review</t>
  </si>
  <si>
    <t>115  Piece Set Of Multifunctional Precision Screwdrivers</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</si>
  <si>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</si>
  <si>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</si>
  <si>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</si>
  <si>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</si>
  <si>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</si>
  <si>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</si>
  <si>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</si>
  <si>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</si>
  <si>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</si>
  <si>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</si>
  <si>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Peacock  Throw Pillow Cushion Case For Home Car</t>
  </si>
  <si>
    <t>LED Wall Digital Alarm Clock Study Home 12 / 24H Clock Calendar</t>
  </si>
  <si>
    <t>3D Waterproof EVA Plastic Shower Curtain 1.8*2Mtrs</t>
  </si>
  <si>
    <t>3PCS Single Head Knitting Crochet Sweater Needle Set</t>
  </si>
  <si>
    <t>4pcs Bathroom/Kitchen Towel Rack,Roll Paper Holder,Towel Bars,Hook</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</si>
  <si>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</si>
  <si>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</si>
  <si>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</si>
  <si>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</si>
  <si>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</si>
  <si>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</si>
  <si>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12 Litre Insulated Lunch Box Grey</t>
  </si>
  <si>
    <t>DIY File Folder, Office Drawer File Holder, Pen Holder, Desktop Storage Rack</t>
  </si>
  <si>
    <t>Classic Black Cat Cotton Hemp Pillow Case For Home Car</t>
  </si>
  <si>
    <t>Balloon Insert, Birthday Party Balloon Set, PU Leather</t>
  </si>
  <si>
    <t>Shower Cap Wide Elastic Band Cover Reusable Bashroom Cap</t>
  </si>
  <si>
    <t>Christmas Elk Fence Yard Lawn Decorations Cute For Holidays</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</si>
  <si>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</si>
  <si>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</si>
  <si>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</si>
  <si>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</si>
  <si>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</si>
  <si>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</si>
  <si>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Cute Christmas Fence Garden Decorations For Holiday Home</t>
  </si>
  <si>
    <t>Simple Metal Dog Art Sculpture Decoration For Home Office</t>
  </si>
  <si>
    <t>Christmas Fence Garden Decorations Outdoor For Holiday Home</t>
  </si>
  <si>
    <t>Angle Measuring Tool Full Metal Multi Angle Measuring Tool</t>
  </si>
  <si>
    <t>5 Pieces/set Of Stainless Steel Induction Cooker Pots</t>
  </si>
  <si>
    <t>Mythco 120COB Solar Wall Ligt With Motion Sensor And Remote Control 3 Modes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</si>
  <si>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</si>
  <si>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</si>
  <si>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</si>
  <si>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</si>
  <si>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</si>
  <si>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Agapeon Toothbrush Holder And Toothpaste Dispenser</t>
  </si>
  <si>
    <t>Large Lazy Inflatable Sofa Chairs PVC Lounger Seat Bag</t>
  </si>
  <si>
    <t>Watercolour Gold Foil Textured Print Pillow Cover</t>
  </si>
  <si>
    <t>Wrought Iron Bathroom Shelf Wall Mounted Free Punch Toilet Rack</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</si>
  <si>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</si>
  <si>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</si>
  <si>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</si>
  <si>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</si>
  <si>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</si>
  <si>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</si>
  <si>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</si>
  <si>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</si>
  <si>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</si>
  <si>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</si>
  <si>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</si>
  <si>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</si>
  <si>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</si>
  <si>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</si>
  <si>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</si>
  <si>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</si>
  <si>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</si>
  <si>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</si>
  <si>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</si>
  <si>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</si>
  <si>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9pcs Gas Mask, For Painting, Dust, Formaldehyde Grinding, Polishing</t>
  </si>
  <si>
    <t>1PC Refrigerator Food Seal Pocket Fridge Bags</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</si>
  <si>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</si>
  <si>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</si>
  <si>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</si>
  <si>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</si>
  <si>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Black Simple Water Cup Wine Coaster Anti Slip Absorbent</t>
  </si>
  <si>
    <t>Rating</t>
  </si>
  <si>
    <t>Absolute discount</t>
  </si>
  <si>
    <t>rating category</t>
  </si>
  <si>
    <t>Punch free Great Load Bearing Bathroom Storage Rack Wall Shelf White</t>
  </si>
  <si>
    <t>53 Pieces/Set Yarn Knitting Crochet Hooks With Bag   Pansies</t>
  </si>
  <si>
    <t>Portable Mini Cordless Car Vacuum Cleaner   Blue</t>
  </si>
  <si>
    <t>53Pcs/Set Yarn Knitting Crochet Hooks With Bag   Fortune Cat</t>
  </si>
  <si>
    <t>Metal Decorative Hooks Key Hangers Entryway Wall Hooks Towel Hooks   Home</t>
  </si>
  <si>
    <t>5 PCS Stainless Steel Cooking Pot Set With Steamed Slices</t>
  </si>
  <si>
    <t>Exfoliate And Exfoliate Face Towel   Black</t>
  </si>
  <si>
    <t>LED Eye Protection  Desk Lamp , Study, Reading, USB Fan   Double Pen Holder</t>
  </si>
  <si>
    <t>Electric LED UV Mosquito Killer Lamp, Outdoor/Indoor Fly Killer Trap Light  USB</t>
  </si>
  <si>
    <t>Weighing Scale Digital Bathroom Body Fat Scale USB Black</t>
  </si>
  <si>
    <t>7 piece Set Of Storage Bags, Travel Storage Bags, Shoe Bags</t>
  </si>
  <si>
    <t>LED Romantic Spaceship Starry Sky Projector,Children's Bedroom Night Light Blue</t>
  </si>
  <si>
    <t>32PCS Portable Cordless Drill Set With Cyclic Battery Drive  26 Variable Speed</t>
  </si>
  <si>
    <t>Portable Home Small Air Humidifier 3 Speed Fan   Green</t>
  </si>
  <si>
    <t>LASA Aluminum Folding Truck Hand Cart   68kg Max</t>
  </si>
  <si>
    <t>1/2/3 Seater Elastic Sofa Cover,Living Room/Home Decor Chair Cover Grey</t>
  </si>
  <si>
    <t>Anti Skid Absorbent Insulation Coaster  For Home Office</t>
  </si>
  <si>
    <t>Bedroom Simple Floor Hanging Clothes Rack Single Pole Hat Rack   White</t>
  </si>
  <si>
    <t>Konka Healty Electric Kettle, 24 hour Heat Preservation,1.5L,800W, White</t>
  </si>
  <si>
    <t>Memory Foam Neck Pillow Cover, With Pillow Core   50*30cm</t>
  </si>
  <si>
    <t>Wall mounted Sticker Punch free Plug Fixer</t>
  </si>
  <si>
    <t>12V 19500rpm Handheld Electric Angle Grinder Tool   UK   Yellow/Black</t>
  </si>
  <si>
    <t>24 Grid Wall mounted Sundries Organiser Fabric Closet Bag Storage Rack</t>
  </si>
  <si>
    <t>2PCS Ice Silk Square Cushion Cover Pillowcases   65x65cm</t>
  </si>
  <si>
    <t>4M Float Switch Water Level Controller  Water Tank</t>
  </si>
  <si>
    <t>60W Hot Melt Glue Sprayer   Efficient And Stable Glue Dispensing</t>
  </si>
  <si>
    <t>LASA Stainless Steel Double Wall Mount Soap Dispenser   500ml</t>
  </si>
  <si>
    <t>LED Solar Street Light fake Camera</t>
  </si>
  <si>
    <t>Modern Sofa Throw Pillow Cover 45x45cm Blue&amp;Red</t>
  </si>
  <si>
    <t>MultiFunctional Storage Rack Multi layer Booelf</t>
  </si>
  <si>
    <t>Multi purpose Rice Drainage Basket And Fruit And Vegetable Drainage Sieve</t>
  </si>
  <si>
    <t>Outdoor Portable Water Bottle With Medicine Box   600ML   Black</t>
  </si>
  <si>
    <t>Wall Mounted Toothbrush Toothpaste Holder With Multiple Slots</t>
  </si>
  <si>
    <t>Category by Discount</t>
  </si>
  <si>
    <t>Most Expensive</t>
  </si>
  <si>
    <t>Avg current</t>
  </si>
  <si>
    <t>Average Old</t>
  </si>
  <si>
    <t>Discount %</t>
  </si>
  <si>
    <t>Avg Disc %</t>
  </si>
  <si>
    <t>Avg Rating</t>
  </si>
  <si>
    <t>Least Expensive</t>
  </si>
  <si>
    <t>Row Labels</t>
  </si>
  <si>
    <t>Grand Total</t>
  </si>
  <si>
    <t>Average of Rating</t>
  </si>
  <si>
    <t>Average of Review</t>
  </si>
  <si>
    <t>Max of Rating</t>
  </si>
  <si>
    <t>Max of Discount %</t>
  </si>
  <si>
    <t>Max of Review</t>
  </si>
  <si>
    <t>High Discount</t>
  </si>
  <si>
    <t>Low Discount</t>
  </si>
  <si>
    <t>Medium Discount</t>
  </si>
  <si>
    <t>Min of Rating</t>
  </si>
  <si>
    <t>Column Labels</t>
  </si>
  <si>
    <t>Average</t>
  </si>
  <si>
    <t>Excellent</t>
  </si>
  <si>
    <t>Not Reviewed</t>
  </si>
  <si>
    <t>Poor</t>
  </si>
  <si>
    <t>Count of Product</t>
  </si>
  <si>
    <t>Average of Current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</si>
</sst>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9" fontId="0" fillId="0" borderId="0" xfId="0" applyNumberFormat="1"/>
    <xf numFmtId="0" fontId="18" fillId="0" borderId="0" xfId="0" applyFont="1"/>
    <xf numFmtId="1" fontId="18"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9"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Finalised.xlsx]Top 10 reviewed!PivotTable4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10 reviewed'!$B$3</c:f>
              <c:strCache>
                <c:ptCount val="1"/>
                <c:pt idx="0">
                  <c:v>Total</c:v>
                </c:pt>
              </c:strCache>
            </c:strRef>
          </c:tx>
          <c:spPr>
            <a:solidFill>
              <a:schemeClr val="accent1"/>
            </a:solidFill>
            <a:ln>
              <a:noFill/>
            </a:ln>
            <a:effectLst/>
          </c:spPr>
          <c:invertIfNegative val="0"/>
          <c:cat>
            <c:strRef>
              <c:f>'Top 10 reviewed'!$A$4:$A$14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 free Great Load Bearing Bathroom Storage Rack Wall Shelf 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'Top 10 reviewed'!$B$4:$B$14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FD34-44D2-8211-C0EC05DC720D}"/>
            </c:ext>
          </c:extLst>
        </c:ser>
        <c:dLbls>
          <c:showLegendKey val="0"/>
          <c:showVal val="0"/>
          <c:showCatName val="0"/>
          <c:showSerName val="0"/>
          <c:showPercent val="0"/>
          <c:showBubbleSize val="0"/>
        </c:dLbls>
        <c:gapWidth val="182"/>
        <c:axId val="990297471"/>
        <c:axId val="990314111"/>
      </c:barChart>
      <c:catAx>
        <c:axId val="99029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14111"/>
        <c:crosses val="autoZero"/>
        <c:auto val="1"/>
        <c:lblAlgn val="ctr"/>
        <c:lblOffset val="100"/>
        <c:noMultiLvlLbl val="0"/>
      </c:catAx>
      <c:valAx>
        <c:axId val="990314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2974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Finalised.xlsx]Product performance!PivotTable1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'Product performance'!$B$3</c:f>
              <c:strCache>
                <c:ptCount val="1"/>
                <c:pt idx="0">
                  <c:v>Max of Review</c:v>
                </c:pt>
              </c:strCache>
            </c:strRef>
          </c:tx>
          <c:spPr>
            <a:solidFill>
              <a:schemeClr val="accent1"/>
            </a:solidFill>
            <a:ln>
              <a:noFill/>
            </a:ln>
            <a:effectLst/>
          </c:spPr>
          <c:invertIfNegative val="0"/>
          <c:cat>
            <c:strRef>
              <c:f>'Product performance'!$A$4:$A$113</c:f>
              <c:strCache>
                <c:ptCount val="109"/>
                <c:pt idx="0">
                  <c:v>1/2/3 Seater Elastic Sofa Cover,Living Room/Home Decor Chair Cover 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UK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 mounted Sundries Organiser Fabric Closet Bag Storage Rack</c:v>
                </c:pt>
                <c:pt idx="13">
                  <c:v>2PCS Ice Silk Square Cushion Cover Pillowcases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PCS Stainless Steel Cooking Pot Set With Steamed Slices</c:v>
                </c:pt>
                <c:pt idx="26">
                  <c:v>5 Pieces/set Of Stainless Steel Induction Cooker Pots</c:v>
                </c:pt>
                <c:pt idx="27">
                  <c:v>52 Pieces Cake Decorating Tool Set Gift Kit Baking Supplies</c:v>
                </c:pt>
                <c:pt idx="28">
                  <c:v>53 Pieces/Set Yarn Knitting Crochet Hooks With Bag   Pansies</c:v>
                </c:pt>
                <c:pt idx="29">
                  <c:v>53Pcs/Set Yarn Knitting Crochet Hooks With Bag   Fortune Cat</c:v>
                </c:pt>
                <c:pt idx="30">
                  <c:v>5m Waterproof Spherical LED String Lights Outdoor Ball Chain Lights Party Lighting Decoration Adjustable</c:v>
                </c:pt>
                <c:pt idx="31">
                  <c:v>6 In 1 Bottle Can Opener Multifunctional Easy Opener</c:v>
                </c:pt>
                <c:pt idx="32">
                  <c:v>6 Layers Steel Pipe Assembling Dustproof Storage Shoe Cabinet</c:v>
                </c:pt>
                <c:pt idx="33">
                  <c:v>60W Hot Melt Glue Sprayer   Efficient And Stable Glue Dispensing</c:v>
                </c:pt>
                <c:pt idx="34">
                  <c:v>7 piece Set Of Storage Bags, Travel Storage Bags, Shoe Bags</c:v>
                </c:pt>
                <c:pt idx="35">
                  <c:v>7PCS Silicone Thumb Knife Finger Protector Vegetable Harvesting Knife</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 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 hour Heat Preservation,1.5L,800W, White</c:v>
                </c:pt>
                <c:pt idx="66">
                  <c:v>Large Lazy Inflatable Sofa Chairs PVC Lounger Seat Bag</c:v>
                </c:pt>
                <c:pt idx="67">
                  <c:v>LASA 3 Tier Bamboo Shoe Bench Storage Shelf</c:v>
                </c:pt>
                <c:pt idx="68">
                  <c:v>LASA Aluminum Folding Truck Hand Cart   68kg Max</c:v>
                </c:pt>
                <c:pt idx="69">
                  <c:v>LASA Digital Thermometer And Hydrometer</c:v>
                </c:pt>
                <c:pt idx="70">
                  <c:v>LASA FOLDING TABLE SERVING STAND</c:v>
                </c:pt>
                <c:pt idx="71">
                  <c:v>LASA Stainless Steel Double Wall Mount Soap Dispenser   500ml</c:v>
                </c:pt>
                <c:pt idx="72">
                  <c:v>LED Eye Protection  Desk Lamp , Study, Reading, USB Fan   Double Pen Holder</c:v>
                </c:pt>
                <c:pt idx="73">
                  <c:v>LED Romantic Spaceship Starry Sky Projector,Children's Bedroom Night Light Blue</c:v>
                </c:pt>
                <c:pt idx="74">
                  <c:v>LED Solar Street Light fake Camera</c:v>
                </c:pt>
                <c:pt idx="75">
                  <c:v>LED Wall Digital Alarm Clock Study Home 12 / 24H Clock Calendar</c:v>
                </c:pt>
                <c:pt idx="76">
                  <c:v>Memory Foam Neck Pillow Cover, With Pillow Core   50*30cm</c:v>
                </c:pt>
                <c:pt idx="77">
                  <c:v>Metal Decorative Hooks Key Hangers Entryway Wall Hooks Towel Hooks   Home</c:v>
                </c:pt>
                <c:pt idx="78">
                  <c:v>Metal Wall Clock Silver Dial Crystal Jewelry Round Home Decoration Wall Clock</c:v>
                </c:pt>
                <c:pt idx="79">
                  <c:v>Modern Sofa Throw Pillow Cover 45x45cm Blue&amp;Red</c:v>
                </c:pt>
                <c:pt idx="80">
                  <c:v>Multi purpose Rice Drainage Basket And Fruit And Vegetable Drainage Sieve</c:v>
                </c:pt>
                <c:pt idx="81">
                  <c:v>Multifunction Laser Level With Adjustment Tripod</c:v>
                </c:pt>
                <c:pt idx="82">
                  <c:v>Multifunctional Hanging Storage Box Storage Bag (4 Layers)</c:v>
                </c:pt>
                <c:pt idx="83">
                  <c:v>MultiFunctional Storage Rack Multi layer Booelf</c:v>
                </c:pt>
                <c:pt idx="84">
                  <c:v>Mythco 120COB Solar Wall Ligt With Motion Sensor And Remote Control 3 Modes</c:v>
                </c:pt>
                <c:pt idx="85">
                  <c:v>Office Chair Lumbar Back Support Spine Posture Correction Pillow Car Cushion</c:v>
                </c:pt>
                <c:pt idx="86">
                  <c:v>Outdoor Portable Water Bottle With Medicine Box   600ML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 Speed Fan   Green</c:v>
                </c:pt>
                <c:pt idx="91">
                  <c:v>Portable Mini Cordless Car Vacuum Cleaner   Blue</c:v>
                </c:pt>
                <c:pt idx="92">
                  <c:v>Portable Soap Dispenser Kitchen Detergent Press Box Kitchen Tools</c:v>
                </c:pt>
                <c:pt idx="93">
                  <c:v>Portable Wardrobe Nonwoven With 3 Hanging Rods And 6 Storage Shelves</c:v>
                </c:pt>
                <c:pt idx="94">
                  <c:v>Portable Wine Table With Folding Round Table</c:v>
                </c:pt>
                <c:pt idx="95">
                  <c:v>Punch free Great Load Bearing Bathroom Storage Rack Wall Shelf 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 mounted Sticker Punch free Plug Fixer</c:v>
                </c:pt>
                <c:pt idx="105">
                  <c:v>Wall Mounted Toothbrush Toothpaste Holder With Multiple Slots</c:v>
                </c:pt>
                <c:pt idx="106">
                  <c:v>Watercolour Gold Foil Textured Print Pillow Cover</c:v>
                </c:pt>
                <c:pt idx="107">
                  <c:v>Weighing Scale Digital Bathroom Body Fat Scale USB Black</c:v>
                </c:pt>
                <c:pt idx="108">
                  <c:v>Wrought Iron Bathroom Shelf Wall Mounted Free Punch Toilet Rack</c:v>
                </c:pt>
              </c:strCache>
            </c:strRef>
          </c:cat>
          <c:val>
            <c:numRef>
              <c:f>'Product performance'!$B$4:$B$113</c:f>
              <c:numCache>
                <c:formatCode>General</c:formatCode>
                <c:ptCount val="109"/>
                <c:pt idx="0">
                  <c:v>2</c:v>
                </c:pt>
                <c:pt idx="1">
                  <c:v>39</c:v>
                </c:pt>
                <c:pt idx="2">
                  <c:v>2</c:v>
                </c:pt>
                <c:pt idx="3">
                  <c:v>13</c:v>
                </c:pt>
                <c:pt idx="4">
                  <c:v>12</c:v>
                </c:pt>
                <c:pt idx="5">
                  <c:v>69</c:v>
                </c:pt>
                <c:pt idx="7">
                  <c:v>5</c:v>
                </c:pt>
                <c:pt idx="8">
                  <c:v>55</c:v>
                </c:pt>
                <c:pt idx="11">
                  <c:v>15</c:v>
                </c:pt>
                <c:pt idx="16">
                  <c:v>5</c:v>
                </c:pt>
                <c:pt idx="17">
                  <c:v>7</c:v>
                </c:pt>
                <c:pt idx="18">
                  <c:v>44</c:v>
                </c:pt>
                <c:pt idx="20">
                  <c:v>13</c:v>
                </c:pt>
                <c:pt idx="22">
                  <c:v>12</c:v>
                </c:pt>
                <c:pt idx="25">
                  <c:v>13</c:v>
                </c:pt>
                <c:pt idx="26">
                  <c:v>6</c:v>
                </c:pt>
                <c:pt idx="27">
                  <c:v>20</c:v>
                </c:pt>
                <c:pt idx="28">
                  <c:v>32</c:v>
                </c:pt>
                <c:pt idx="29">
                  <c:v>20</c:v>
                </c:pt>
                <c:pt idx="34">
                  <c:v>6</c:v>
                </c:pt>
                <c:pt idx="38">
                  <c:v>17</c:v>
                </c:pt>
                <c:pt idx="40">
                  <c:v>2</c:v>
                </c:pt>
                <c:pt idx="41">
                  <c:v>6</c:v>
                </c:pt>
                <c:pt idx="44">
                  <c:v>1</c:v>
                </c:pt>
                <c:pt idx="52">
                  <c:v>2</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2">
                  <c:v>9</c:v>
                </c:pt>
                <c:pt idx="73">
                  <c:v>6</c:v>
                </c:pt>
                <c:pt idx="75">
                  <c:v>5</c:v>
                </c:pt>
                <c:pt idx="76">
                  <c:v>1</c:v>
                </c:pt>
                <c:pt idx="77">
                  <c:v>14</c:v>
                </c:pt>
                <c:pt idx="81">
                  <c:v>9</c:v>
                </c:pt>
                <c:pt idx="84">
                  <c:v>10</c:v>
                </c:pt>
                <c:pt idx="87">
                  <c:v>2</c:v>
                </c:pt>
                <c:pt idx="90">
                  <c:v>5</c:v>
                </c:pt>
                <c:pt idx="91">
                  <c:v>24</c:v>
                </c:pt>
                <c:pt idx="93">
                  <c:v>12</c:v>
                </c:pt>
                <c:pt idx="95">
                  <c:v>36</c:v>
                </c:pt>
                <c:pt idx="101">
                  <c:v>16</c:v>
                </c:pt>
                <c:pt idx="104">
                  <c:v>1</c:v>
                </c:pt>
                <c:pt idx="106">
                  <c:v>6</c:v>
                </c:pt>
                <c:pt idx="107">
                  <c:v>7</c:v>
                </c:pt>
                <c:pt idx="108">
                  <c:v>5</c:v>
                </c:pt>
              </c:numCache>
            </c:numRef>
          </c:val>
          <c:extLst>
            <c:ext xmlns:c16="http://schemas.microsoft.com/office/drawing/2014/chart" uri="{C3380CC4-5D6E-409C-BE32-E72D297353CC}">
              <c16:uniqueId val="{00000000-2210-4895-AF34-C00CA72D8CB2}"/>
            </c:ext>
          </c:extLst>
        </c:ser>
        <c:ser>
          <c:idx val="1"/>
          <c:order val="1"/>
          <c:tx>
            <c:strRef>
              <c:f>'Product performance'!$C$3</c:f>
              <c:strCache>
                <c:ptCount val="1"/>
                <c:pt idx="0">
                  <c:v>Max of Rating</c:v>
                </c:pt>
              </c:strCache>
            </c:strRef>
          </c:tx>
          <c:spPr>
            <a:solidFill>
              <a:schemeClr val="accent2"/>
            </a:solidFill>
            <a:ln>
              <a:noFill/>
            </a:ln>
            <a:effectLst/>
          </c:spPr>
          <c:invertIfNegative val="0"/>
          <c:cat>
            <c:strRef>
              <c:f>'Product performance'!$A$4:$A$113</c:f>
              <c:strCache>
                <c:ptCount val="109"/>
                <c:pt idx="0">
                  <c:v>1/2/3 Seater Elastic Sofa Cover,Living Room/Home Decor Chair Cover 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UK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 mounted Sundries Organiser Fabric Closet Bag Storage Rack</c:v>
                </c:pt>
                <c:pt idx="13">
                  <c:v>2PCS Ice Silk Square Cushion Cover Pillowcases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PCS Stainless Steel Cooking Pot Set With Steamed Slices</c:v>
                </c:pt>
                <c:pt idx="26">
                  <c:v>5 Pieces/set Of Stainless Steel Induction Cooker Pots</c:v>
                </c:pt>
                <c:pt idx="27">
                  <c:v>52 Pieces Cake Decorating Tool Set Gift Kit Baking Supplies</c:v>
                </c:pt>
                <c:pt idx="28">
                  <c:v>53 Pieces/Set Yarn Knitting Crochet Hooks With Bag   Pansies</c:v>
                </c:pt>
                <c:pt idx="29">
                  <c:v>53Pcs/Set Yarn Knitting Crochet Hooks With Bag   Fortune Cat</c:v>
                </c:pt>
                <c:pt idx="30">
                  <c:v>5m Waterproof Spherical LED String Lights Outdoor Ball Chain Lights Party Lighting Decoration Adjustable</c:v>
                </c:pt>
                <c:pt idx="31">
                  <c:v>6 In 1 Bottle Can Opener Multifunctional Easy Opener</c:v>
                </c:pt>
                <c:pt idx="32">
                  <c:v>6 Layers Steel Pipe Assembling Dustproof Storage Shoe Cabinet</c:v>
                </c:pt>
                <c:pt idx="33">
                  <c:v>60W Hot Melt Glue Sprayer   Efficient And Stable Glue Dispensing</c:v>
                </c:pt>
                <c:pt idx="34">
                  <c:v>7 piece Set Of Storage Bags, Travel Storage Bags, Shoe Bags</c:v>
                </c:pt>
                <c:pt idx="35">
                  <c:v>7PCS Silicone Thumb Knife Finger Protector Vegetable Harvesting Knife</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 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 hour Heat Preservation,1.5L,800W, White</c:v>
                </c:pt>
                <c:pt idx="66">
                  <c:v>Large Lazy Inflatable Sofa Chairs PVC Lounger Seat Bag</c:v>
                </c:pt>
                <c:pt idx="67">
                  <c:v>LASA 3 Tier Bamboo Shoe Bench Storage Shelf</c:v>
                </c:pt>
                <c:pt idx="68">
                  <c:v>LASA Aluminum Folding Truck Hand Cart   68kg Max</c:v>
                </c:pt>
                <c:pt idx="69">
                  <c:v>LASA Digital Thermometer And Hydrometer</c:v>
                </c:pt>
                <c:pt idx="70">
                  <c:v>LASA FOLDING TABLE SERVING STAND</c:v>
                </c:pt>
                <c:pt idx="71">
                  <c:v>LASA Stainless Steel Double Wall Mount Soap Dispenser   500ml</c:v>
                </c:pt>
                <c:pt idx="72">
                  <c:v>LED Eye Protection  Desk Lamp , Study, Reading, USB Fan   Double Pen Holder</c:v>
                </c:pt>
                <c:pt idx="73">
                  <c:v>LED Romantic Spaceship Starry Sky Projector,Children's Bedroom Night Light Blue</c:v>
                </c:pt>
                <c:pt idx="74">
                  <c:v>LED Solar Street Light fake Camera</c:v>
                </c:pt>
                <c:pt idx="75">
                  <c:v>LED Wall Digital Alarm Clock Study Home 12 / 24H Clock Calendar</c:v>
                </c:pt>
                <c:pt idx="76">
                  <c:v>Memory Foam Neck Pillow Cover, With Pillow Core   50*30cm</c:v>
                </c:pt>
                <c:pt idx="77">
                  <c:v>Metal Decorative Hooks Key Hangers Entryway Wall Hooks Towel Hooks   Home</c:v>
                </c:pt>
                <c:pt idx="78">
                  <c:v>Metal Wall Clock Silver Dial Crystal Jewelry Round Home Decoration Wall Clock</c:v>
                </c:pt>
                <c:pt idx="79">
                  <c:v>Modern Sofa Throw Pillow Cover 45x45cm Blue&amp;Red</c:v>
                </c:pt>
                <c:pt idx="80">
                  <c:v>Multi purpose Rice Drainage Basket And Fruit And Vegetable Drainage Sieve</c:v>
                </c:pt>
                <c:pt idx="81">
                  <c:v>Multifunction Laser Level With Adjustment Tripod</c:v>
                </c:pt>
                <c:pt idx="82">
                  <c:v>Multifunctional Hanging Storage Box Storage Bag (4 Layers)</c:v>
                </c:pt>
                <c:pt idx="83">
                  <c:v>MultiFunctional Storage Rack Multi layer Booelf</c:v>
                </c:pt>
                <c:pt idx="84">
                  <c:v>Mythco 120COB Solar Wall Ligt With Motion Sensor And Remote Control 3 Modes</c:v>
                </c:pt>
                <c:pt idx="85">
                  <c:v>Office Chair Lumbar Back Support Spine Posture Correction Pillow Car Cushion</c:v>
                </c:pt>
                <c:pt idx="86">
                  <c:v>Outdoor Portable Water Bottle With Medicine Box   600ML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 Speed Fan   Green</c:v>
                </c:pt>
                <c:pt idx="91">
                  <c:v>Portable Mini Cordless Car Vacuum Cleaner   Blue</c:v>
                </c:pt>
                <c:pt idx="92">
                  <c:v>Portable Soap Dispenser Kitchen Detergent Press Box Kitchen Tools</c:v>
                </c:pt>
                <c:pt idx="93">
                  <c:v>Portable Wardrobe Nonwoven With 3 Hanging Rods And 6 Storage Shelves</c:v>
                </c:pt>
                <c:pt idx="94">
                  <c:v>Portable Wine Table With Folding Round Table</c:v>
                </c:pt>
                <c:pt idx="95">
                  <c:v>Punch free Great Load Bearing Bathroom Storage Rack Wall Shelf 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 mounted Sticker Punch free Plug Fixer</c:v>
                </c:pt>
                <c:pt idx="105">
                  <c:v>Wall Mounted Toothbrush Toothpaste Holder With Multiple Slots</c:v>
                </c:pt>
                <c:pt idx="106">
                  <c:v>Watercolour Gold Foil Textured Print Pillow Cover</c:v>
                </c:pt>
                <c:pt idx="107">
                  <c:v>Weighing Scale Digital Bathroom Body Fat Scale USB Black</c:v>
                </c:pt>
                <c:pt idx="108">
                  <c:v>Wrought Iron Bathroom Shelf Wall Mounted Free Punch Toilet Rack</c:v>
                </c:pt>
              </c:strCache>
            </c:strRef>
          </c:cat>
          <c:val>
            <c:numRef>
              <c:f>'Product performance'!$C$4:$C$113</c:f>
              <c:numCache>
                <c:formatCode>General</c:formatCode>
                <c:ptCount val="109"/>
                <c:pt idx="0">
                  <c:v>4.5</c:v>
                </c:pt>
                <c:pt idx="1">
                  <c:v>4.7</c:v>
                </c:pt>
                <c:pt idx="2">
                  <c:v>4.5</c:v>
                </c:pt>
                <c:pt idx="3">
                  <c:v>3.8</c:v>
                </c:pt>
                <c:pt idx="4">
                  <c:v>4.7</c:v>
                </c:pt>
                <c:pt idx="5">
                  <c:v>2.8</c:v>
                </c:pt>
                <c:pt idx="7">
                  <c:v>3.8</c:v>
                </c:pt>
                <c:pt idx="8">
                  <c:v>4.5999999999999996</c:v>
                </c:pt>
                <c:pt idx="11">
                  <c:v>4</c:v>
                </c:pt>
                <c:pt idx="16">
                  <c:v>3</c:v>
                </c:pt>
                <c:pt idx="17">
                  <c:v>2.2999999999999998</c:v>
                </c:pt>
                <c:pt idx="18">
                  <c:v>4.5999999999999996</c:v>
                </c:pt>
                <c:pt idx="20">
                  <c:v>3.3</c:v>
                </c:pt>
                <c:pt idx="22">
                  <c:v>4.8</c:v>
                </c:pt>
                <c:pt idx="25">
                  <c:v>2.1</c:v>
                </c:pt>
                <c:pt idx="26">
                  <c:v>2.5</c:v>
                </c:pt>
                <c:pt idx="27">
                  <c:v>4.0999999999999996</c:v>
                </c:pt>
                <c:pt idx="28">
                  <c:v>4.5</c:v>
                </c:pt>
                <c:pt idx="29">
                  <c:v>4.7</c:v>
                </c:pt>
                <c:pt idx="34">
                  <c:v>2.2000000000000002</c:v>
                </c:pt>
                <c:pt idx="38">
                  <c:v>2.6</c:v>
                </c:pt>
                <c:pt idx="40">
                  <c:v>5</c:v>
                </c:pt>
                <c:pt idx="41">
                  <c:v>2.2000000000000002</c:v>
                </c:pt>
                <c:pt idx="44">
                  <c:v>5</c:v>
                </c:pt>
                <c:pt idx="52">
                  <c:v>5</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2">
                  <c:v>4.3</c:v>
                </c:pt>
                <c:pt idx="73">
                  <c:v>4</c:v>
                </c:pt>
                <c:pt idx="75">
                  <c:v>4.5999999999999996</c:v>
                </c:pt>
                <c:pt idx="76">
                  <c:v>3</c:v>
                </c:pt>
                <c:pt idx="77">
                  <c:v>4.0999999999999996</c:v>
                </c:pt>
                <c:pt idx="81">
                  <c:v>4.2</c:v>
                </c:pt>
                <c:pt idx="84">
                  <c:v>3</c:v>
                </c:pt>
                <c:pt idx="87">
                  <c:v>5</c:v>
                </c:pt>
                <c:pt idx="90">
                  <c:v>4.8</c:v>
                </c:pt>
                <c:pt idx="91">
                  <c:v>4.5999999999999996</c:v>
                </c:pt>
                <c:pt idx="93">
                  <c:v>3.8</c:v>
                </c:pt>
                <c:pt idx="95">
                  <c:v>4.3</c:v>
                </c:pt>
                <c:pt idx="101">
                  <c:v>2.9</c:v>
                </c:pt>
                <c:pt idx="104">
                  <c:v>2</c:v>
                </c:pt>
                <c:pt idx="106">
                  <c:v>2.2999999999999998</c:v>
                </c:pt>
                <c:pt idx="107">
                  <c:v>4.7</c:v>
                </c:pt>
                <c:pt idx="108">
                  <c:v>3</c:v>
                </c:pt>
              </c:numCache>
            </c:numRef>
          </c:val>
          <c:extLst>
            <c:ext xmlns:c16="http://schemas.microsoft.com/office/drawing/2014/chart" uri="{C3380CC4-5D6E-409C-BE32-E72D297353CC}">
              <c16:uniqueId val="{00000001-2210-4895-AF34-C00CA72D8CB2}"/>
            </c:ext>
          </c:extLst>
        </c:ser>
        <c:dLbls>
          <c:showLegendKey val="0"/>
          <c:showVal val="0"/>
          <c:showCatName val="0"/>
          <c:showSerName val="0"/>
          <c:showPercent val="0"/>
          <c:showBubbleSize val="0"/>
        </c:dLbls>
        <c:gapWidth val="219"/>
        <c:axId val="1676017727"/>
        <c:axId val="1676019391"/>
      </c:barChart>
      <c:lineChart>
        <c:grouping val="standard"/>
        <c:varyColors val="0"/>
        <c:ser>
          <c:idx val="2"/>
          <c:order val="2"/>
          <c:tx>
            <c:strRef>
              <c:f>'Product performance'!$D$3</c:f>
              <c:strCache>
                <c:ptCount val="1"/>
                <c:pt idx="0">
                  <c:v>Max of Discount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'Product performance'!$A$4:$A$113</c:f>
              <c:strCache>
                <c:ptCount val="109"/>
                <c:pt idx="0">
                  <c:v>1/2/3 Seater Elastic Sofa Cover,Living Room/Home Decor Chair Cover 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UK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 mounted Sundries Organiser Fabric Closet Bag Storage Rack</c:v>
                </c:pt>
                <c:pt idx="13">
                  <c:v>2PCS Ice Silk Square Cushion Cover Pillowcases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PCS Stainless Steel Cooking Pot Set With Steamed Slices</c:v>
                </c:pt>
                <c:pt idx="26">
                  <c:v>5 Pieces/set Of Stainless Steel Induction Cooker Pots</c:v>
                </c:pt>
                <c:pt idx="27">
                  <c:v>52 Pieces Cake Decorating Tool Set Gift Kit Baking Supplies</c:v>
                </c:pt>
                <c:pt idx="28">
                  <c:v>53 Pieces/Set Yarn Knitting Crochet Hooks With Bag   Pansies</c:v>
                </c:pt>
                <c:pt idx="29">
                  <c:v>53Pcs/Set Yarn Knitting Crochet Hooks With Bag   Fortune Cat</c:v>
                </c:pt>
                <c:pt idx="30">
                  <c:v>5m Waterproof Spherical LED String Lights Outdoor Ball Chain Lights Party Lighting Decoration Adjustable</c:v>
                </c:pt>
                <c:pt idx="31">
                  <c:v>6 In 1 Bottle Can Opener Multifunctional Easy Opener</c:v>
                </c:pt>
                <c:pt idx="32">
                  <c:v>6 Layers Steel Pipe Assembling Dustproof Storage Shoe Cabinet</c:v>
                </c:pt>
                <c:pt idx="33">
                  <c:v>60W Hot Melt Glue Sprayer   Efficient And Stable Glue Dispensing</c:v>
                </c:pt>
                <c:pt idx="34">
                  <c:v>7 piece Set Of Storage Bags, Travel Storage Bags, Shoe Bags</c:v>
                </c:pt>
                <c:pt idx="35">
                  <c:v>7PCS Silicone Thumb Knife Finger Protector Vegetable Harvesting Knife</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 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 hour Heat Preservation,1.5L,800W, White</c:v>
                </c:pt>
                <c:pt idx="66">
                  <c:v>Large Lazy Inflatable Sofa Chairs PVC Lounger Seat Bag</c:v>
                </c:pt>
                <c:pt idx="67">
                  <c:v>LASA 3 Tier Bamboo Shoe Bench Storage Shelf</c:v>
                </c:pt>
                <c:pt idx="68">
                  <c:v>LASA Aluminum Folding Truck Hand Cart   68kg Max</c:v>
                </c:pt>
                <c:pt idx="69">
                  <c:v>LASA Digital Thermometer And Hydrometer</c:v>
                </c:pt>
                <c:pt idx="70">
                  <c:v>LASA FOLDING TABLE SERVING STAND</c:v>
                </c:pt>
                <c:pt idx="71">
                  <c:v>LASA Stainless Steel Double Wall Mount Soap Dispenser   500ml</c:v>
                </c:pt>
                <c:pt idx="72">
                  <c:v>LED Eye Protection  Desk Lamp , Study, Reading, USB Fan   Double Pen Holder</c:v>
                </c:pt>
                <c:pt idx="73">
                  <c:v>LED Romantic Spaceship Starry Sky Projector,Children's Bedroom Night Light Blue</c:v>
                </c:pt>
                <c:pt idx="74">
                  <c:v>LED Solar Street Light fake Camera</c:v>
                </c:pt>
                <c:pt idx="75">
                  <c:v>LED Wall Digital Alarm Clock Study Home 12 / 24H Clock Calendar</c:v>
                </c:pt>
                <c:pt idx="76">
                  <c:v>Memory Foam Neck Pillow Cover, With Pillow Core   50*30cm</c:v>
                </c:pt>
                <c:pt idx="77">
                  <c:v>Metal Decorative Hooks Key Hangers Entryway Wall Hooks Towel Hooks   Home</c:v>
                </c:pt>
                <c:pt idx="78">
                  <c:v>Metal Wall Clock Silver Dial Crystal Jewelry Round Home Decoration Wall Clock</c:v>
                </c:pt>
                <c:pt idx="79">
                  <c:v>Modern Sofa Throw Pillow Cover 45x45cm Blue&amp;Red</c:v>
                </c:pt>
                <c:pt idx="80">
                  <c:v>Multi purpose Rice Drainage Basket And Fruit And Vegetable Drainage Sieve</c:v>
                </c:pt>
                <c:pt idx="81">
                  <c:v>Multifunction Laser Level With Adjustment Tripod</c:v>
                </c:pt>
                <c:pt idx="82">
                  <c:v>Multifunctional Hanging Storage Box Storage Bag (4 Layers)</c:v>
                </c:pt>
                <c:pt idx="83">
                  <c:v>MultiFunctional Storage Rack Multi layer Booelf</c:v>
                </c:pt>
                <c:pt idx="84">
                  <c:v>Mythco 120COB Solar Wall Ligt With Motion Sensor And Remote Control 3 Modes</c:v>
                </c:pt>
                <c:pt idx="85">
                  <c:v>Office Chair Lumbar Back Support Spine Posture Correction Pillow Car Cushion</c:v>
                </c:pt>
                <c:pt idx="86">
                  <c:v>Outdoor Portable Water Bottle With Medicine Box   600ML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 Speed Fan   Green</c:v>
                </c:pt>
                <c:pt idx="91">
                  <c:v>Portable Mini Cordless Car Vacuum Cleaner   Blue</c:v>
                </c:pt>
                <c:pt idx="92">
                  <c:v>Portable Soap Dispenser Kitchen Detergent Press Box Kitchen Tools</c:v>
                </c:pt>
                <c:pt idx="93">
                  <c:v>Portable Wardrobe Nonwoven With 3 Hanging Rods And 6 Storage Shelves</c:v>
                </c:pt>
                <c:pt idx="94">
                  <c:v>Portable Wine Table With Folding Round Table</c:v>
                </c:pt>
                <c:pt idx="95">
                  <c:v>Punch free Great Load Bearing Bathroom Storage Rack Wall Shelf 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 mounted Sticker Punch free Plug Fixer</c:v>
                </c:pt>
                <c:pt idx="105">
                  <c:v>Wall Mounted Toothbrush Toothpaste Holder With Multiple Slots</c:v>
                </c:pt>
                <c:pt idx="106">
                  <c:v>Watercolour Gold Foil Textured Print Pillow Cover</c:v>
                </c:pt>
                <c:pt idx="107">
                  <c:v>Weighing Scale Digital Bathroom Body Fat Scale USB Black</c:v>
                </c:pt>
                <c:pt idx="108">
                  <c:v>Wrought Iron Bathroom Shelf Wall Mounted Free Punch Toilet Rack</c:v>
                </c:pt>
              </c:strCache>
            </c:strRef>
          </c:cat>
          <c:val>
            <c:numRef>
              <c:f>'Product performance'!$D$4:$D$113</c:f>
              <c:numCache>
                <c:formatCode>General</c:formatCode>
                <c:ptCount val="109"/>
                <c:pt idx="0">
                  <c:v>0.38</c:v>
                </c:pt>
                <c:pt idx="1">
                  <c:v>0.34</c:v>
                </c:pt>
                <c:pt idx="2">
                  <c:v>0.38</c:v>
                </c:pt>
                <c:pt idx="3">
                  <c:v>0.32</c:v>
                </c:pt>
                <c:pt idx="4">
                  <c:v>0.34</c:v>
                </c:pt>
                <c:pt idx="5">
                  <c:v>0.49</c:v>
                </c:pt>
                <c:pt idx="6">
                  <c:v>0.27</c:v>
                </c:pt>
                <c:pt idx="7">
                  <c:v>0.45</c:v>
                </c:pt>
                <c:pt idx="8">
                  <c:v>0.24</c:v>
                </c:pt>
                <c:pt idx="9">
                  <c:v>0.24</c:v>
                </c:pt>
                <c:pt idx="10">
                  <c:v>0.02</c:v>
                </c:pt>
                <c:pt idx="11">
                  <c:v>0.09</c:v>
                </c:pt>
                <c:pt idx="12">
                  <c:v>0.01</c:v>
                </c:pt>
                <c:pt idx="13">
                  <c:v>0.5</c:v>
                </c:pt>
                <c:pt idx="14">
                  <c:v>0.38</c:v>
                </c:pt>
                <c:pt idx="15">
                  <c:v>0.47</c:v>
                </c:pt>
                <c:pt idx="16">
                  <c:v>0.39</c:v>
                </c:pt>
                <c:pt idx="17">
                  <c:v>0.5</c:v>
                </c:pt>
                <c:pt idx="18">
                  <c:v>0.49</c:v>
                </c:pt>
                <c:pt idx="19">
                  <c:v>0.43</c:v>
                </c:pt>
                <c:pt idx="20">
                  <c:v>0.53</c:v>
                </c:pt>
                <c:pt idx="21">
                  <c:v>0.49</c:v>
                </c:pt>
                <c:pt idx="22">
                  <c:v>0.47</c:v>
                </c:pt>
                <c:pt idx="23">
                  <c:v>0.49</c:v>
                </c:pt>
                <c:pt idx="24">
                  <c:v>0.42</c:v>
                </c:pt>
                <c:pt idx="25">
                  <c:v>0.55000000000000004</c:v>
                </c:pt>
                <c:pt idx="26">
                  <c:v>0.13</c:v>
                </c:pt>
                <c:pt idx="27">
                  <c:v>0.3</c:v>
                </c:pt>
                <c:pt idx="28">
                  <c:v>0.27</c:v>
                </c:pt>
                <c:pt idx="29">
                  <c:v>0.27</c:v>
                </c:pt>
                <c:pt idx="30">
                  <c:v>0.36</c:v>
                </c:pt>
                <c:pt idx="31">
                  <c:v>0.64</c:v>
                </c:pt>
                <c:pt idx="32">
                  <c:v>0.47</c:v>
                </c:pt>
                <c:pt idx="33">
                  <c:v>0.33</c:v>
                </c:pt>
                <c:pt idx="34">
                  <c:v>0.47</c:v>
                </c:pt>
                <c:pt idx="35">
                  <c:v>0.49</c:v>
                </c:pt>
                <c:pt idx="36">
                  <c:v>0.42</c:v>
                </c:pt>
                <c:pt idx="37">
                  <c:v>0.41</c:v>
                </c:pt>
                <c:pt idx="38">
                  <c:v>0.45</c:v>
                </c:pt>
                <c:pt idx="39">
                  <c:v>0.49</c:v>
                </c:pt>
                <c:pt idx="40">
                  <c:v>0.51</c:v>
                </c:pt>
                <c:pt idx="41">
                  <c:v>0.45</c:v>
                </c:pt>
                <c:pt idx="42">
                  <c:v>0.49</c:v>
                </c:pt>
                <c:pt idx="43">
                  <c:v>0.42</c:v>
                </c:pt>
                <c:pt idx="44">
                  <c:v>0.49</c:v>
                </c:pt>
                <c:pt idx="45">
                  <c:v>0.47</c:v>
                </c:pt>
                <c:pt idx="46">
                  <c:v>0.5</c:v>
                </c:pt>
                <c:pt idx="47">
                  <c:v>0.49</c:v>
                </c:pt>
                <c:pt idx="48">
                  <c:v>0.49</c:v>
                </c:pt>
                <c:pt idx="49">
                  <c:v>0.34</c:v>
                </c:pt>
                <c:pt idx="50">
                  <c:v>0.5</c:v>
                </c:pt>
                <c:pt idx="51">
                  <c:v>0.48</c:v>
                </c:pt>
                <c:pt idx="52">
                  <c:v>0.53</c:v>
                </c:pt>
                <c:pt idx="53">
                  <c:v>0.61</c:v>
                </c:pt>
                <c:pt idx="54">
                  <c:v>0.04</c:v>
                </c:pt>
                <c:pt idx="55">
                  <c:v>0.41</c:v>
                </c:pt>
                <c:pt idx="56">
                  <c:v>0.37</c:v>
                </c:pt>
                <c:pt idx="57">
                  <c:v>0.4</c:v>
                </c:pt>
                <c:pt idx="58">
                  <c:v>0.47</c:v>
                </c:pt>
                <c:pt idx="59">
                  <c:v>0.35</c:v>
                </c:pt>
                <c:pt idx="60">
                  <c:v>0.52</c:v>
                </c:pt>
                <c:pt idx="61">
                  <c:v>0.23</c:v>
                </c:pt>
                <c:pt idx="62">
                  <c:v>0.2</c:v>
                </c:pt>
                <c:pt idx="63">
                  <c:v>0.49</c:v>
                </c:pt>
                <c:pt idx="64">
                  <c:v>0.52</c:v>
                </c:pt>
                <c:pt idx="65">
                  <c:v>0.21</c:v>
                </c:pt>
                <c:pt idx="66">
                  <c:v>0.28999999999999998</c:v>
                </c:pt>
                <c:pt idx="67">
                  <c:v>0.54</c:v>
                </c:pt>
                <c:pt idx="68">
                  <c:v>0.49</c:v>
                </c:pt>
                <c:pt idx="69">
                  <c:v>0.42</c:v>
                </c:pt>
                <c:pt idx="70">
                  <c:v>0.55000000000000004</c:v>
                </c:pt>
                <c:pt idx="71">
                  <c:v>0.38</c:v>
                </c:pt>
                <c:pt idx="72">
                  <c:v>0.48</c:v>
                </c:pt>
                <c:pt idx="73">
                  <c:v>0.35</c:v>
                </c:pt>
                <c:pt idx="74">
                  <c:v>0.34</c:v>
                </c:pt>
                <c:pt idx="75">
                  <c:v>0.19</c:v>
                </c:pt>
                <c:pt idx="76">
                  <c:v>0.46</c:v>
                </c:pt>
                <c:pt idx="77">
                  <c:v>0.47</c:v>
                </c:pt>
                <c:pt idx="78">
                  <c:v>0.04</c:v>
                </c:pt>
                <c:pt idx="79">
                  <c:v>0.5</c:v>
                </c:pt>
                <c:pt idx="80">
                  <c:v>0.03</c:v>
                </c:pt>
                <c:pt idx="81">
                  <c:v>0.33</c:v>
                </c:pt>
                <c:pt idx="82">
                  <c:v>0.43</c:v>
                </c:pt>
                <c:pt idx="83">
                  <c:v>0.46</c:v>
                </c:pt>
                <c:pt idx="84">
                  <c:v>0.54</c:v>
                </c:pt>
                <c:pt idx="85">
                  <c:v>0.14000000000000001</c:v>
                </c:pt>
                <c:pt idx="86">
                  <c:v>0.11</c:v>
                </c:pt>
                <c:pt idx="87">
                  <c:v>0.46</c:v>
                </c:pt>
                <c:pt idx="88">
                  <c:v>0.02</c:v>
                </c:pt>
                <c:pt idx="89">
                  <c:v>0.22</c:v>
                </c:pt>
                <c:pt idx="90">
                  <c:v>0.26</c:v>
                </c:pt>
                <c:pt idx="91">
                  <c:v>0.25</c:v>
                </c:pt>
                <c:pt idx="92">
                  <c:v>0.02</c:v>
                </c:pt>
                <c:pt idx="93">
                  <c:v>0.18</c:v>
                </c:pt>
                <c:pt idx="94">
                  <c:v>0.48</c:v>
                </c:pt>
                <c:pt idx="95">
                  <c:v>0.41</c:v>
                </c:pt>
                <c:pt idx="96">
                  <c:v>0.48</c:v>
                </c:pt>
                <c:pt idx="97">
                  <c:v>0.02</c:v>
                </c:pt>
                <c:pt idx="98">
                  <c:v>0.02</c:v>
                </c:pt>
                <c:pt idx="99">
                  <c:v>0.55000000000000004</c:v>
                </c:pt>
                <c:pt idx="100">
                  <c:v>0.02</c:v>
                </c:pt>
                <c:pt idx="101">
                  <c:v>0.22</c:v>
                </c:pt>
                <c:pt idx="102">
                  <c:v>0.5</c:v>
                </c:pt>
                <c:pt idx="103">
                  <c:v>0.08</c:v>
                </c:pt>
                <c:pt idx="104">
                  <c:v>0.5</c:v>
                </c:pt>
                <c:pt idx="105">
                  <c:v>0.14000000000000001</c:v>
                </c:pt>
                <c:pt idx="106">
                  <c:v>0.43</c:v>
                </c:pt>
                <c:pt idx="107">
                  <c:v>0.37</c:v>
                </c:pt>
                <c:pt idx="108">
                  <c:v>0.43</c:v>
                </c:pt>
              </c:numCache>
            </c:numRef>
          </c:val>
          <c:smooth val="0"/>
          <c:extLst>
            <c:ext xmlns:c16="http://schemas.microsoft.com/office/drawing/2014/chart" uri="{C3380CC4-5D6E-409C-BE32-E72D297353CC}">
              <c16:uniqueId val="{00000002-2210-4895-AF34-C00CA72D8CB2}"/>
            </c:ext>
          </c:extLst>
        </c:ser>
        <c:dLbls>
          <c:showLegendKey val="0"/>
          <c:showVal val="0"/>
          <c:showCatName val="0"/>
          <c:showSerName val="0"/>
          <c:showPercent val="0"/>
          <c:showBubbleSize val="0"/>
        </c:dLbls>
        <c:marker val="1"/>
        <c:smooth val="0"/>
        <c:axId val="156603840"/>
        <c:axId val="156626304"/>
      </c:lineChart>
      <c:catAx>
        <c:axId val="167601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19391"/>
        <c:crosses val="autoZero"/>
        <c:auto val="1"/>
        <c:lblAlgn val="ctr"/>
        <c:lblOffset val="100"/>
        <c:noMultiLvlLbl val="0"/>
      </c:catAx>
      <c:valAx>
        <c:axId val="167601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17727"/>
        <c:crosses val="autoZero"/>
        <c:crossBetween val="between"/>
      </c:valAx>
      <c:valAx>
        <c:axId val="156626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3840"/>
        <c:crosses val="max"/>
        <c:crossBetween val="between"/>
      </c:valAx>
      <c:catAx>
        <c:axId val="156603840"/>
        <c:scaling>
          <c:orientation val="minMax"/>
        </c:scaling>
        <c:delete val="1"/>
        <c:axPos val="b"/>
        <c:numFmt formatCode="General" sourceLinked="1"/>
        <c:majorTickMark val="out"/>
        <c:minorTickMark val="none"/>
        <c:tickLblPos val="nextTo"/>
        <c:crossAx val="156626304"/>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Finalised.xlsx]Sheet3!PivotTable2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Sheet3!$B$3:$B$4</c:f>
              <c:strCache>
                <c:ptCount val="1"/>
                <c:pt idx="0">
                  <c:v>High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08-46EC-8D5B-71FA3C2B4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08-46EC-8D5B-71FA3C2B4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08-46EC-8D5B-71FA3C2B4A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08-46EC-8D5B-71FA3C2B4A33}"/>
              </c:ext>
            </c:extLst>
          </c:dPt>
          <c:cat>
            <c:strRef>
              <c:f>Sheet3!$A$5:$A$9</c:f>
              <c:strCache>
                <c:ptCount val="4"/>
                <c:pt idx="0">
                  <c:v>Average</c:v>
                </c:pt>
                <c:pt idx="1">
                  <c:v>Excellent</c:v>
                </c:pt>
                <c:pt idx="2">
                  <c:v>Not Reviewed</c:v>
                </c:pt>
                <c:pt idx="3">
                  <c:v>Poor</c:v>
                </c:pt>
              </c:strCache>
            </c:strRef>
          </c:cat>
          <c:val>
            <c:numRef>
              <c:f>Sheet3!$B$5:$B$9</c:f>
              <c:numCache>
                <c:formatCode>General</c:formatCode>
                <c:ptCount val="4"/>
                <c:pt idx="0">
                  <c:v>11</c:v>
                </c:pt>
                <c:pt idx="1">
                  <c:v>9</c:v>
                </c:pt>
                <c:pt idx="2">
                  <c:v>32</c:v>
                </c:pt>
                <c:pt idx="3">
                  <c:v>10</c:v>
                </c:pt>
              </c:numCache>
            </c:numRef>
          </c:val>
          <c:extLst>
            <c:ext xmlns:c16="http://schemas.microsoft.com/office/drawing/2014/chart" uri="{C3380CC4-5D6E-409C-BE32-E72D297353CC}">
              <c16:uniqueId val="{00000000-E61D-40CA-998E-5482818B9B71}"/>
            </c:ext>
          </c:extLst>
        </c:ser>
        <c:ser>
          <c:idx val="1"/>
          <c:order val="1"/>
          <c:tx>
            <c:strRef>
              <c:f>Sheet3!$C$3:$C$4</c:f>
              <c:strCache>
                <c:ptCount val="1"/>
                <c:pt idx="0">
                  <c:v>Low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4D08-46EC-8D5B-71FA3C2B4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4D08-46EC-8D5B-71FA3C2B4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4D08-46EC-8D5B-71FA3C2B4A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4D08-46EC-8D5B-71FA3C2B4A33}"/>
              </c:ext>
            </c:extLst>
          </c:dPt>
          <c:cat>
            <c:strRef>
              <c:f>Sheet3!$A$5:$A$9</c:f>
              <c:strCache>
                <c:ptCount val="4"/>
                <c:pt idx="0">
                  <c:v>Average</c:v>
                </c:pt>
                <c:pt idx="1">
                  <c:v>Excellent</c:v>
                </c:pt>
                <c:pt idx="2">
                  <c:v>Not Reviewed</c:v>
                </c:pt>
                <c:pt idx="3">
                  <c:v>Poor</c:v>
                </c:pt>
              </c:strCache>
            </c:strRef>
          </c:cat>
          <c:val>
            <c:numRef>
              <c:f>Sheet3!$C$5:$C$9</c:f>
              <c:numCache>
                <c:formatCode>General</c:formatCode>
                <c:ptCount val="4"/>
                <c:pt idx="0">
                  <c:v>2</c:v>
                </c:pt>
                <c:pt idx="1">
                  <c:v>1</c:v>
                </c:pt>
                <c:pt idx="2">
                  <c:v>14</c:v>
                </c:pt>
                <c:pt idx="3">
                  <c:v>1</c:v>
                </c:pt>
              </c:numCache>
            </c:numRef>
          </c:val>
          <c:extLst>
            <c:ext xmlns:c16="http://schemas.microsoft.com/office/drawing/2014/chart" uri="{C3380CC4-5D6E-409C-BE32-E72D297353CC}">
              <c16:uniqueId val="{00000005-E61D-40CA-998E-5482818B9B71}"/>
            </c:ext>
          </c:extLst>
        </c:ser>
        <c:ser>
          <c:idx val="2"/>
          <c:order val="2"/>
          <c:tx>
            <c:strRef>
              <c:f>Sheet3!$D$3:$D$4</c:f>
              <c:strCache>
                <c:ptCount val="1"/>
                <c:pt idx="0">
                  <c:v>Medium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4D08-46EC-8D5B-71FA3C2B4A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4D08-46EC-8D5B-71FA3C2B4A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4D08-46EC-8D5B-71FA3C2B4A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4D08-46EC-8D5B-71FA3C2B4A33}"/>
              </c:ext>
            </c:extLst>
          </c:dPt>
          <c:cat>
            <c:strRef>
              <c:f>Sheet3!$A$5:$A$9</c:f>
              <c:strCache>
                <c:ptCount val="4"/>
                <c:pt idx="0">
                  <c:v>Average</c:v>
                </c:pt>
                <c:pt idx="1">
                  <c:v>Excellent</c:v>
                </c:pt>
                <c:pt idx="2">
                  <c:v>Not Reviewed</c:v>
                </c:pt>
                <c:pt idx="3">
                  <c:v>Poor</c:v>
                </c:pt>
              </c:strCache>
            </c:strRef>
          </c:cat>
          <c:val>
            <c:numRef>
              <c:f>Sheet3!$D$5:$D$9</c:f>
              <c:numCache>
                <c:formatCode>General</c:formatCode>
                <c:ptCount val="4"/>
                <c:pt idx="0">
                  <c:v>9</c:v>
                </c:pt>
                <c:pt idx="1">
                  <c:v>13</c:v>
                </c:pt>
                <c:pt idx="2">
                  <c:v>9</c:v>
                </c:pt>
                <c:pt idx="3">
                  <c:v>1</c:v>
                </c:pt>
              </c:numCache>
            </c:numRef>
          </c:val>
          <c:extLst>
            <c:ext xmlns:c16="http://schemas.microsoft.com/office/drawing/2014/chart" uri="{C3380CC4-5D6E-409C-BE32-E72D297353CC}">
              <c16:uniqueId val="{00000006-E61D-40CA-998E-5482818B9B7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discount%</a:t>
            </a:r>
            <a:r>
              <a:rPr lang="en-US" baseline="0"/>
              <a:t> and reviews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Clean!$F$1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Clean!$E$2:$E$1048576</c:f>
              <c:numCache>
                <c:formatCode>0%</c:formatCode>
                <c:ptCount val="1048575"/>
                <c:pt idx="0">
                  <c:v>0.64</c:v>
                </c:pt>
                <c:pt idx="1">
                  <c:v>0.61</c:v>
                </c:pt>
                <c:pt idx="2">
                  <c:v>0.55000000000000004</c:v>
                </c:pt>
                <c:pt idx="3">
                  <c:v>0.55000000000000004</c:v>
                </c:pt>
                <c:pt idx="4">
                  <c:v>0.55000000000000004</c:v>
                </c:pt>
                <c:pt idx="5">
                  <c:v>0.54</c:v>
                </c:pt>
                <c:pt idx="6">
                  <c:v>0.54</c:v>
                </c:pt>
                <c:pt idx="7">
                  <c:v>0.53</c:v>
                </c:pt>
                <c:pt idx="8">
                  <c:v>0.53</c:v>
                </c:pt>
                <c:pt idx="9">
                  <c:v>0.52</c:v>
                </c:pt>
                <c:pt idx="10">
                  <c:v>0.52</c:v>
                </c:pt>
                <c:pt idx="11">
                  <c:v>0.51</c:v>
                </c:pt>
                <c:pt idx="12">
                  <c:v>0.5</c:v>
                </c:pt>
                <c:pt idx="13">
                  <c:v>0.5</c:v>
                </c:pt>
                <c:pt idx="14">
                  <c:v>0.5</c:v>
                </c:pt>
                <c:pt idx="15">
                  <c:v>0.5</c:v>
                </c:pt>
                <c:pt idx="16">
                  <c:v>0.5</c:v>
                </c:pt>
                <c:pt idx="17">
                  <c:v>0.5</c:v>
                </c:pt>
                <c:pt idx="18">
                  <c:v>0.5</c:v>
                </c:pt>
                <c:pt idx="19">
                  <c:v>0.49</c:v>
                </c:pt>
                <c:pt idx="20">
                  <c:v>0.49</c:v>
                </c:pt>
                <c:pt idx="21">
                  <c:v>0.49</c:v>
                </c:pt>
                <c:pt idx="22">
                  <c:v>0.49</c:v>
                </c:pt>
                <c:pt idx="23">
                  <c:v>0.49</c:v>
                </c:pt>
                <c:pt idx="24">
                  <c:v>0.49</c:v>
                </c:pt>
                <c:pt idx="25">
                  <c:v>0.49</c:v>
                </c:pt>
                <c:pt idx="26">
                  <c:v>0.49</c:v>
                </c:pt>
                <c:pt idx="27">
                  <c:v>0.49</c:v>
                </c:pt>
                <c:pt idx="28">
                  <c:v>0.49</c:v>
                </c:pt>
                <c:pt idx="29">
                  <c:v>0.49</c:v>
                </c:pt>
                <c:pt idx="30">
                  <c:v>0.49</c:v>
                </c:pt>
                <c:pt idx="31">
                  <c:v>0.49</c:v>
                </c:pt>
                <c:pt idx="32">
                  <c:v>0.49</c:v>
                </c:pt>
                <c:pt idx="33">
                  <c:v>0.48</c:v>
                </c:pt>
                <c:pt idx="34">
                  <c:v>0.48</c:v>
                </c:pt>
                <c:pt idx="35">
                  <c:v>0.48</c:v>
                </c:pt>
                <c:pt idx="36">
                  <c:v>0.48</c:v>
                </c:pt>
                <c:pt idx="37">
                  <c:v>0.47</c:v>
                </c:pt>
                <c:pt idx="38">
                  <c:v>0.47</c:v>
                </c:pt>
                <c:pt idx="39">
                  <c:v>0.47</c:v>
                </c:pt>
                <c:pt idx="40">
                  <c:v>0.47</c:v>
                </c:pt>
                <c:pt idx="41">
                  <c:v>0.47</c:v>
                </c:pt>
                <c:pt idx="42">
                  <c:v>0.47</c:v>
                </c:pt>
                <c:pt idx="43">
                  <c:v>0.47</c:v>
                </c:pt>
                <c:pt idx="44">
                  <c:v>0.46</c:v>
                </c:pt>
                <c:pt idx="45">
                  <c:v>0.46</c:v>
                </c:pt>
                <c:pt idx="46">
                  <c:v>0.46</c:v>
                </c:pt>
                <c:pt idx="47">
                  <c:v>0.45</c:v>
                </c:pt>
                <c:pt idx="48">
                  <c:v>0.45</c:v>
                </c:pt>
                <c:pt idx="49">
                  <c:v>0.45</c:v>
                </c:pt>
                <c:pt idx="50">
                  <c:v>0.45</c:v>
                </c:pt>
                <c:pt idx="51">
                  <c:v>0.43</c:v>
                </c:pt>
                <c:pt idx="52">
                  <c:v>0.43</c:v>
                </c:pt>
                <c:pt idx="53">
                  <c:v>0.43</c:v>
                </c:pt>
                <c:pt idx="54">
                  <c:v>0.43</c:v>
                </c:pt>
                <c:pt idx="55">
                  <c:v>0.42</c:v>
                </c:pt>
                <c:pt idx="56">
                  <c:v>0.42</c:v>
                </c:pt>
                <c:pt idx="57">
                  <c:v>0.42</c:v>
                </c:pt>
                <c:pt idx="58">
                  <c:v>0.42</c:v>
                </c:pt>
                <c:pt idx="59">
                  <c:v>0.41</c:v>
                </c:pt>
                <c:pt idx="60">
                  <c:v>0.41</c:v>
                </c:pt>
                <c:pt idx="61">
                  <c:v>0.41</c:v>
                </c:pt>
                <c:pt idx="62">
                  <c:v>0.4</c:v>
                </c:pt>
                <c:pt idx="63">
                  <c:v>0.39</c:v>
                </c:pt>
                <c:pt idx="64">
                  <c:v>0.38</c:v>
                </c:pt>
                <c:pt idx="65">
                  <c:v>0.38</c:v>
                </c:pt>
                <c:pt idx="66">
                  <c:v>0.38</c:v>
                </c:pt>
                <c:pt idx="67">
                  <c:v>0.38</c:v>
                </c:pt>
                <c:pt idx="68">
                  <c:v>0.37</c:v>
                </c:pt>
                <c:pt idx="69">
                  <c:v>0.37</c:v>
                </c:pt>
                <c:pt idx="70">
                  <c:v>0.36</c:v>
                </c:pt>
                <c:pt idx="71">
                  <c:v>0.35</c:v>
                </c:pt>
                <c:pt idx="72">
                  <c:v>0.35</c:v>
                </c:pt>
                <c:pt idx="73">
                  <c:v>0.34</c:v>
                </c:pt>
                <c:pt idx="74">
                  <c:v>0.34</c:v>
                </c:pt>
                <c:pt idx="75">
                  <c:v>0.34</c:v>
                </c:pt>
                <c:pt idx="76">
                  <c:v>0.34</c:v>
                </c:pt>
                <c:pt idx="77">
                  <c:v>0.33</c:v>
                </c:pt>
                <c:pt idx="78">
                  <c:v>0.33</c:v>
                </c:pt>
                <c:pt idx="79">
                  <c:v>0.32</c:v>
                </c:pt>
                <c:pt idx="80">
                  <c:v>0.3</c:v>
                </c:pt>
                <c:pt idx="81">
                  <c:v>0.28999999999999998</c:v>
                </c:pt>
                <c:pt idx="82">
                  <c:v>0.27</c:v>
                </c:pt>
                <c:pt idx="83">
                  <c:v>0.27</c:v>
                </c:pt>
                <c:pt idx="84">
                  <c:v>0.27</c:v>
                </c:pt>
                <c:pt idx="85">
                  <c:v>0.26</c:v>
                </c:pt>
                <c:pt idx="86">
                  <c:v>0.25</c:v>
                </c:pt>
                <c:pt idx="87">
                  <c:v>0.24</c:v>
                </c:pt>
                <c:pt idx="88">
                  <c:v>0.24</c:v>
                </c:pt>
                <c:pt idx="89">
                  <c:v>0.23</c:v>
                </c:pt>
                <c:pt idx="90">
                  <c:v>0.22</c:v>
                </c:pt>
                <c:pt idx="91">
                  <c:v>0.22</c:v>
                </c:pt>
                <c:pt idx="92">
                  <c:v>0.21</c:v>
                </c:pt>
                <c:pt idx="93">
                  <c:v>0.2</c:v>
                </c:pt>
                <c:pt idx="94">
                  <c:v>0.19</c:v>
                </c:pt>
                <c:pt idx="95">
                  <c:v>0.18</c:v>
                </c:pt>
                <c:pt idx="96">
                  <c:v>0.14000000000000001</c:v>
                </c:pt>
                <c:pt idx="97">
                  <c:v>0.14000000000000001</c:v>
                </c:pt>
                <c:pt idx="98">
                  <c:v>0.13</c:v>
                </c:pt>
                <c:pt idx="99">
                  <c:v>0.11</c:v>
                </c:pt>
                <c:pt idx="100">
                  <c:v>0.09</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Clean!$F$2:$F$1048576</c:f>
              <c:numCache>
                <c:formatCode>0</c:formatCode>
                <c:ptCount val="1048575"/>
                <c:pt idx="2">
                  <c:v>13</c:v>
                </c:pt>
                <c:pt idx="3">
                  <c:v>5</c:v>
                </c:pt>
                <c:pt idx="5">
                  <c:v>7</c:v>
                </c:pt>
                <c:pt idx="6">
                  <c:v>10</c:v>
                </c:pt>
                <c:pt idx="7">
                  <c:v>13</c:v>
                </c:pt>
                <c:pt idx="8">
                  <c:v>2</c:v>
                </c:pt>
                <c:pt idx="9">
                  <c:v>9</c:v>
                </c:pt>
                <c:pt idx="10">
                  <c:v>15</c:v>
                </c:pt>
                <c:pt idx="11">
                  <c:v>2</c:v>
                </c:pt>
                <c:pt idx="13">
                  <c:v>7</c:v>
                </c:pt>
                <c:pt idx="18">
                  <c:v>1</c:v>
                </c:pt>
                <c:pt idx="19">
                  <c:v>69</c:v>
                </c:pt>
                <c:pt idx="20">
                  <c:v>44</c:v>
                </c:pt>
                <c:pt idx="27">
                  <c:v>1</c:v>
                </c:pt>
                <c:pt idx="31">
                  <c:v>1</c:v>
                </c:pt>
                <c:pt idx="32">
                  <c:v>3</c:v>
                </c:pt>
                <c:pt idx="34">
                  <c:v>9</c:v>
                </c:pt>
                <c:pt idx="38">
                  <c:v>12</c:v>
                </c:pt>
                <c:pt idx="40">
                  <c:v>6</c:v>
                </c:pt>
                <c:pt idx="42">
                  <c:v>7</c:v>
                </c:pt>
                <c:pt idx="43">
                  <c:v>14</c:v>
                </c:pt>
                <c:pt idx="44">
                  <c:v>1</c:v>
                </c:pt>
                <c:pt idx="46">
                  <c:v>2</c:v>
                </c:pt>
                <c:pt idx="47">
                  <c:v>5</c:v>
                </c:pt>
                <c:pt idx="48">
                  <c:v>17</c:v>
                </c:pt>
                <c:pt idx="49">
                  <c:v>6</c:v>
                </c:pt>
                <c:pt idx="53">
                  <c:v>6</c:v>
                </c:pt>
                <c:pt idx="54">
                  <c:v>5</c:v>
                </c:pt>
                <c:pt idx="58">
                  <c:v>6</c:v>
                </c:pt>
                <c:pt idx="61">
                  <c:v>36</c:v>
                </c:pt>
                <c:pt idx="62">
                  <c:v>1</c:v>
                </c:pt>
                <c:pt idx="63">
                  <c:v>5</c:v>
                </c:pt>
                <c:pt idx="64">
                  <c:v>2</c:v>
                </c:pt>
                <c:pt idx="65">
                  <c:v>2</c:v>
                </c:pt>
                <c:pt idx="68">
                  <c:v>2</c:v>
                </c:pt>
                <c:pt idx="69">
                  <c:v>7</c:v>
                </c:pt>
                <c:pt idx="71">
                  <c:v>49</c:v>
                </c:pt>
                <c:pt idx="72">
                  <c:v>6</c:v>
                </c:pt>
                <c:pt idx="73">
                  <c:v>39</c:v>
                </c:pt>
                <c:pt idx="74">
                  <c:v>12</c:v>
                </c:pt>
                <c:pt idx="78">
                  <c:v>9</c:v>
                </c:pt>
                <c:pt idx="79">
                  <c:v>13</c:v>
                </c:pt>
                <c:pt idx="80">
                  <c:v>20</c:v>
                </c:pt>
                <c:pt idx="81">
                  <c:v>5</c:v>
                </c:pt>
                <c:pt idx="83">
                  <c:v>32</c:v>
                </c:pt>
                <c:pt idx="84">
                  <c:v>20</c:v>
                </c:pt>
                <c:pt idx="85">
                  <c:v>5</c:v>
                </c:pt>
                <c:pt idx="86">
                  <c:v>24</c:v>
                </c:pt>
                <c:pt idx="87">
                  <c:v>55</c:v>
                </c:pt>
                <c:pt idx="89">
                  <c:v>14</c:v>
                </c:pt>
                <c:pt idx="91">
                  <c:v>16</c:v>
                </c:pt>
                <c:pt idx="92">
                  <c:v>1</c:v>
                </c:pt>
                <c:pt idx="93">
                  <c:v>12</c:v>
                </c:pt>
                <c:pt idx="94">
                  <c:v>5</c:v>
                </c:pt>
                <c:pt idx="95">
                  <c:v>12</c:v>
                </c:pt>
                <c:pt idx="98">
                  <c:v>6</c:v>
                </c:pt>
                <c:pt idx="100">
                  <c:v>15</c:v>
                </c:pt>
              </c:numCache>
            </c:numRef>
          </c:yVal>
          <c:smooth val="0"/>
          <c:extLst>
            <c:ext xmlns:c16="http://schemas.microsoft.com/office/drawing/2014/chart" uri="{C3380CC4-5D6E-409C-BE32-E72D297353CC}">
              <c16:uniqueId val="{00000000-1FCD-4AAC-94D4-39F1392E2592}"/>
            </c:ext>
          </c:extLst>
        </c:ser>
        <c:dLbls>
          <c:showLegendKey val="0"/>
          <c:showVal val="0"/>
          <c:showCatName val="0"/>
          <c:showSerName val="0"/>
          <c:showPercent val="0"/>
          <c:showBubbleSize val="0"/>
        </c:dLbls>
        <c:axId val="228127887"/>
        <c:axId val="228128303"/>
      </c:scatterChart>
      <c:valAx>
        <c:axId val="228127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28303"/>
        <c:crosses val="autoZero"/>
        <c:crossBetween val="midCat"/>
      </c:valAx>
      <c:valAx>
        <c:axId val="228128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278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baseline="0">
                <a:effectLst/>
              </a:rPr>
              <a:t>relationship between and reviews and ratings</a:t>
            </a:r>
            <a:endParaRPr lang="en-US" sz="1200">
              <a:effectLst/>
            </a:endParaRPr>
          </a:p>
        </c:rich>
      </c:tx>
      <c:layout>
        <c:manualLayout>
          <c:xMode val="edge"/>
          <c:yMode val="edge"/>
          <c:x val="0.15100678040244969"/>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Clean!$G$1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Clean!$F$2:$F$1048576</c:f>
              <c:numCache>
                <c:formatCode>0</c:formatCode>
                <c:ptCount val="1048575"/>
                <c:pt idx="2">
                  <c:v>13</c:v>
                </c:pt>
                <c:pt idx="3">
                  <c:v>5</c:v>
                </c:pt>
                <c:pt idx="5">
                  <c:v>7</c:v>
                </c:pt>
                <c:pt idx="6">
                  <c:v>10</c:v>
                </c:pt>
                <c:pt idx="7">
                  <c:v>13</c:v>
                </c:pt>
                <c:pt idx="8">
                  <c:v>2</c:v>
                </c:pt>
                <c:pt idx="9">
                  <c:v>9</c:v>
                </c:pt>
                <c:pt idx="10">
                  <c:v>15</c:v>
                </c:pt>
                <c:pt idx="11">
                  <c:v>2</c:v>
                </c:pt>
                <c:pt idx="13">
                  <c:v>7</c:v>
                </c:pt>
                <c:pt idx="18">
                  <c:v>1</c:v>
                </c:pt>
                <c:pt idx="19">
                  <c:v>69</c:v>
                </c:pt>
                <c:pt idx="20">
                  <c:v>44</c:v>
                </c:pt>
                <c:pt idx="27">
                  <c:v>1</c:v>
                </c:pt>
                <c:pt idx="31">
                  <c:v>1</c:v>
                </c:pt>
                <c:pt idx="32">
                  <c:v>3</c:v>
                </c:pt>
                <c:pt idx="34">
                  <c:v>9</c:v>
                </c:pt>
                <c:pt idx="38">
                  <c:v>12</c:v>
                </c:pt>
                <c:pt idx="40">
                  <c:v>6</c:v>
                </c:pt>
                <c:pt idx="42">
                  <c:v>7</c:v>
                </c:pt>
                <c:pt idx="43">
                  <c:v>14</c:v>
                </c:pt>
                <c:pt idx="44">
                  <c:v>1</c:v>
                </c:pt>
                <c:pt idx="46">
                  <c:v>2</c:v>
                </c:pt>
                <c:pt idx="47">
                  <c:v>5</c:v>
                </c:pt>
                <c:pt idx="48">
                  <c:v>17</c:v>
                </c:pt>
                <c:pt idx="49">
                  <c:v>6</c:v>
                </c:pt>
                <c:pt idx="53">
                  <c:v>6</c:v>
                </c:pt>
                <c:pt idx="54">
                  <c:v>5</c:v>
                </c:pt>
                <c:pt idx="58">
                  <c:v>6</c:v>
                </c:pt>
                <c:pt idx="61">
                  <c:v>36</c:v>
                </c:pt>
                <c:pt idx="62">
                  <c:v>1</c:v>
                </c:pt>
                <c:pt idx="63">
                  <c:v>5</c:v>
                </c:pt>
                <c:pt idx="64">
                  <c:v>2</c:v>
                </c:pt>
                <c:pt idx="65">
                  <c:v>2</c:v>
                </c:pt>
                <c:pt idx="68">
                  <c:v>2</c:v>
                </c:pt>
                <c:pt idx="69">
                  <c:v>7</c:v>
                </c:pt>
                <c:pt idx="71">
                  <c:v>49</c:v>
                </c:pt>
                <c:pt idx="72">
                  <c:v>6</c:v>
                </c:pt>
                <c:pt idx="73">
                  <c:v>39</c:v>
                </c:pt>
                <c:pt idx="74">
                  <c:v>12</c:v>
                </c:pt>
                <c:pt idx="78">
                  <c:v>9</c:v>
                </c:pt>
                <c:pt idx="79">
                  <c:v>13</c:v>
                </c:pt>
                <c:pt idx="80">
                  <c:v>20</c:v>
                </c:pt>
                <c:pt idx="81">
                  <c:v>5</c:v>
                </c:pt>
                <c:pt idx="83">
                  <c:v>32</c:v>
                </c:pt>
                <c:pt idx="84">
                  <c:v>20</c:v>
                </c:pt>
                <c:pt idx="85">
                  <c:v>5</c:v>
                </c:pt>
                <c:pt idx="86">
                  <c:v>24</c:v>
                </c:pt>
                <c:pt idx="87">
                  <c:v>55</c:v>
                </c:pt>
                <c:pt idx="89">
                  <c:v>14</c:v>
                </c:pt>
                <c:pt idx="91">
                  <c:v>16</c:v>
                </c:pt>
                <c:pt idx="92">
                  <c:v>1</c:v>
                </c:pt>
                <c:pt idx="93">
                  <c:v>12</c:v>
                </c:pt>
                <c:pt idx="94">
                  <c:v>5</c:v>
                </c:pt>
                <c:pt idx="95">
                  <c:v>12</c:v>
                </c:pt>
                <c:pt idx="98">
                  <c:v>6</c:v>
                </c:pt>
                <c:pt idx="100">
                  <c:v>15</c:v>
                </c:pt>
              </c:numCache>
            </c:numRef>
          </c:xVal>
          <c:yVal>
            <c:numRef>
              <c:f>Clean!$G$2:$G$1048576</c:f>
              <c:numCache>
                <c:formatCode>General</c:formatCode>
                <c:ptCount val="1048575"/>
                <c:pt idx="2">
                  <c:v>2.1</c:v>
                </c:pt>
                <c:pt idx="3">
                  <c:v>4.8</c:v>
                </c:pt>
                <c:pt idx="5">
                  <c:v>4.3</c:v>
                </c:pt>
                <c:pt idx="6">
                  <c:v>3</c:v>
                </c:pt>
                <c:pt idx="7">
                  <c:v>3.3</c:v>
                </c:pt>
                <c:pt idx="8">
                  <c:v>5</c:v>
                </c:pt>
                <c:pt idx="9">
                  <c:v>4.3</c:v>
                </c:pt>
                <c:pt idx="10">
                  <c:v>2.7</c:v>
                </c:pt>
                <c:pt idx="11">
                  <c:v>5</c:v>
                </c:pt>
                <c:pt idx="13">
                  <c:v>2.2999999999999998</c:v>
                </c:pt>
                <c:pt idx="18">
                  <c:v>2</c:v>
                </c:pt>
                <c:pt idx="19">
                  <c:v>2.8</c:v>
                </c:pt>
                <c:pt idx="20">
                  <c:v>4.5999999999999996</c:v>
                </c:pt>
                <c:pt idx="27">
                  <c:v>5</c:v>
                </c:pt>
                <c:pt idx="31">
                  <c:v>4</c:v>
                </c:pt>
                <c:pt idx="32">
                  <c:v>5</c:v>
                </c:pt>
                <c:pt idx="34">
                  <c:v>4.3</c:v>
                </c:pt>
                <c:pt idx="38">
                  <c:v>4.8</c:v>
                </c:pt>
                <c:pt idx="40">
                  <c:v>2.2000000000000002</c:v>
                </c:pt>
                <c:pt idx="42">
                  <c:v>2.1</c:v>
                </c:pt>
                <c:pt idx="43">
                  <c:v>4.0999999999999996</c:v>
                </c:pt>
                <c:pt idx="44">
                  <c:v>3</c:v>
                </c:pt>
                <c:pt idx="46">
                  <c:v>5</c:v>
                </c:pt>
                <c:pt idx="47">
                  <c:v>3.8</c:v>
                </c:pt>
                <c:pt idx="48">
                  <c:v>2.6</c:v>
                </c:pt>
                <c:pt idx="49">
                  <c:v>2.2000000000000002</c:v>
                </c:pt>
                <c:pt idx="53">
                  <c:v>2.2999999999999998</c:v>
                </c:pt>
                <c:pt idx="54">
                  <c:v>3</c:v>
                </c:pt>
                <c:pt idx="58">
                  <c:v>4.5</c:v>
                </c:pt>
                <c:pt idx="61">
                  <c:v>4.3</c:v>
                </c:pt>
                <c:pt idx="62">
                  <c:v>5</c:v>
                </c:pt>
                <c:pt idx="63">
                  <c:v>3</c:v>
                </c:pt>
                <c:pt idx="64">
                  <c:v>4.5</c:v>
                </c:pt>
                <c:pt idx="65">
                  <c:v>4.5</c:v>
                </c:pt>
                <c:pt idx="68">
                  <c:v>4</c:v>
                </c:pt>
                <c:pt idx="69">
                  <c:v>4.7</c:v>
                </c:pt>
                <c:pt idx="71">
                  <c:v>4.5999999999999996</c:v>
                </c:pt>
                <c:pt idx="72">
                  <c:v>4</c:v>
                </c:pt>
                <c:pt idx="73">
                  <c:v>4.7</c:v>
                </c:pt>
                <c:pt idx="74">
                  <c:v>4.7</c:v>
                </c:pt>
                <c:pt idx="78">
                  <c:v>4.2</c:v>
                </c:pt>
                <c:pt idx="79">
                  <c:v>3.8</c:v>
                </c:pt>
                <c:pt idx="80">
                  <c:v>4.0999999999999996</c:v>
                </c:pt>
                <c:pt idx="81">
                  <c:v>3</c:v>
                </c:pt>
                <c:pt idx="83">
                  <c:v>4.5</c:v>
                </c:pt>
                <c:pt idx="84">
                  <c:v>4.7</c:v>
                </c:pt>
                <c:pt idx="85">
                  <c:v>4.8</c:v>
                </c:pt>
                <c:pt idx="86">
                  <c:v>4.5999999999999996</c:v>
                </c:pt>
                <c:pt idx="87">
                  <c:v>4.5999999999999996</c:v>
                </c:pt>
                <c:pt idx="89">
                  <c:v>4.4000000000000004</c:v>
                </c:pt>
                <c:pt idx="91">
                  <c:v>2.9</c:v>
                </c:pt>
                <c:pt idx="92">
                  <c:v>5</c:v>
                </c:pt>
                <c:pt idx="93">
                  <c:v>4.0999999999999996</c:v>
                </c:pt>
                <c:pt idx="94">
                  <c:v>4.5999999999999996</c:v>
                </c:pt>
                <c:pt idx="95">
                  <c:v>3.8</c:v>
                </c:pt>
                <c:pt idx="98">
                  <c:v>2.5</c:v>
                </c:pt>
                <c:pt idx="100">
                  <c:v>4</c:v>
                </c:pt>
              </c:numCache>
            </c:numRef>
          </c:yVal>
          <c:smooth val="0"/>
          <c:extLst>
            <c:ext xmlns:c16="http://schemas.microsoft.com/office/drawing/2014/chart" uri="{C3380CC4-5D6E-409C-BE32-E72D297353CC}">
              <c16:uniqueId val="{00000000-579F-4C74-B9C3-CB8C2A68B025}"/>
            </c:ext>
          </c:extLst>
        </c:ser>
        <c:dLbls>
          <c:showLegendKey val="0"/>
          <c:showVal val="0"/>
          <c:showCatName val="0"/>
          <c:showSerName val="0"/>
          <c:showPercent val="0"/>
          <c:showBubbleSize val="0"/>
        </c:dLbls>
        <c:axId val="678739231"/>
        <c:axId val="678741727"/>
      </c:scatterChart>
      <c:valAx>
        <c:axId val="6787392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41727"/>
        <c:crosses val="autoZero"/>
        <c:crossBetween val="midCat"/>
      </c:valAx>
      <c:valAx>
        <c:axId val="67874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392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 between discount%</a:t>
            </a:r>
            <a:r>
              <a:rPr lang="en-US" baseline="0"/>
              <a:t> and reviews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Clean!$F$1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Clean!$E$2:$E$1048576</c:f>
              <c:numCache>
                <c:formatCode>0%</c:formatCode>
                <c:ptCount val="1048575"/>
                <c:pt idx="0">
                  <c:v>0.64</c:v>
                </c:pt>
                <c:pt idx="1">
                  <c:v>0.61</c:v>
                </c:pt>
                <c:pt idx="2">
                  <c:v>0.55000000000000004</c:v>
                </c:pt>
                <c:pt idx="3">
                  <c:v>0.55000000000000004</c:v>
                </c:pt>
                <c:pt idx="4">
                  <c:v>0.55000000000000004</c:v>
                </c:pt>
                <c:pt idx="5">
                  <c:v>0.54</c:v>
                </c:pt>
                <c:pt idx="6">
                  <c:v>0.54</c:v>
                </c:pt>
                <c:pt idx="7">
                  <c:v>0.53</c:v>
                </c:pt>
                <c:pt idx="8">
                  <c:v>0.53</c:v>
                </c:pt>
                <c:pt idx="9">
                  <c:v>0.52</c:v>
                </c:pt>
                <c:pt idx="10">
                  <c:v>0.52</c:v>
                </c:pt>
                <c:pt idx="11">
                  <c:v>0.51</c:v>
                </c:pt>
                <c:pt idx="12">
                  <c:v>0.5</c:v>
                </c:pt>
                <c:pt idx="13">
                  <c:v>0.5</c:v>
                </c:pt>
                <c:pt idx="14">
                  <c:v>0.5</c:v>
                </c:pt>
                <c:pt idx="15">
                  <c:v>0.5</c:v>
                </c:pt>
                <c:pt idx="16">
                  <c:v>0.5</c:v>
                </c:pt>
                <c:pt idx="17">
                  <c:v>0.5</c:v>
                </c:pt>
                <c:pt idx="18">
                  <c:v>0.5</c:v>
                </c:pt>
                <c:pt idx="19">
                  <c:v>0.49</c:v>
                </c:pt>
                <c:pt idx="20">
                  <c:v>0.49</c:v>
                </c:pt>
                <c:pt idx="21">
                  <c:v>0.49</c:v>
                </c:pt>
                <c:pt idx="22">
                  <c:v>0.49</c:v>
                </c:pt>
                <c:pt idx="23">
                  <c:v>0.49</c:v>
                </c:pt>
                <c:pt idx="24">
                  <c:v>0.49</c:v>
                </c:pt>
                <c:pt idx="25">
                  <c:v>0.49</c:v>
                </c:pt>
                <c:pt idx="26">
                  <c:v>0.49</c:v>
                </c:pt>
                <c:pt idx="27">
                  <c:v>0.49</c:v>
                </c:pt>
                <c:pt idx="28">
                  <c:v>0.49</c:v>
                </c:pt>
                <c:pt idx="29">
                  <c:v>0.49</c:v>
                </c:pt>
                <c:pt idx="30">
                  <c:v>0.49</c:v>
                </c:pt>
                <c:pt idx="31">
                  <c:v>0.49</c:v>
                </c:pt>
                <c:pt idx="32">
                  <c:v>0.49</c:v>
                </c:pt>
                <c:pt idx="33">
                  <c:v>0.48</c:v>
                </c:pt>
                <c:pt idx="34">
                  <c:v>0.48</c:v>
                </c:pt>
                <c:pt idx="35">
                  <c:v>0.48</c:v>
                </c:pt>
                <c:pt idx="36">
                  <c:v>0.48</c:v>
                </c:pt>
                <c:pt idx="37">
                  <c:v>0.47</c:v>
                </c:pt>
                <c:pt idx="38">
                  <c:v>0.47</c:v>
                </c:pt>
                <c:pt idx="39">
                  <c:v>0.47</c:v>
                </c:pt>
                <c:pt idx="40">
                  <c:v>0.47</c:v>
                </c:pt>
                <c:pt idx="41">
                  <c:v>0.47</c:v>
                </c:pt>
                <c:pt idx="42">
                  <c:v>0.47</c:v>
                </c:pt>
                <c:pt idx="43">
                  <c:v>0.47</c:v>
                </c:pt>
                <c:pt idx="44">
                  <c:v>0.46</c:v>
                </c:pt>
                <c:pt idx="45">
                  <c:v>0.46</c:v>
                </c:pt>
                <c:pt idx="46">
                  <c:v>0.46</c:v>
                </c:pt>
                <c:pt idx="47">
                  <c:v>0.45</c:v>
                </c:pt>
                <c:pt idx="48">
                  <c:v>0.45</c:v>
                </c:pt>
                <c:pt idx="49">
                  <c:v>0.45</c:v>
                </c:pt>
                <c:pt idx="50">
                  <c:v>0.45</c:v>
                </c:pt>
                <c:pt idx="51">
                  <c:v>0.43</c:v>
                </c:pt>
                <c:pt idx="52">
                  <c:v>0.43</c:v>
                </c:pt>
                <c:pt idx="53">
                  <c:v>0.43</c:v>
                </c:pt>
                <c:pt idx="54">
                  <c:v>0.43</c:v>
                </c:pt>
                <c:pt idx="55">
                  <c:v>0.42</c:v>
                </c:pt>
                <c:pt idx="56">
                  <c:v>0.42</c:v>
                </c:pt>
                <c:pt idx="57">
                  <c:v>0.42</c:v>
                </c:pt>
                <c:pt idx="58">
                  <c:v>0.42</c:v>
                </c:pt>
                <c:pt idx="59">
                  <c:v>0.41</c:v>
                </c:pt>
                <c:pt idx="60">
                  <c:v>0.41</c:v>
                </c:pt>
                <c:pt idx="61">
                  <c:v>0.41</c:v>
                </c:pt>
                <c:pt idx="62">
                  <c:v>0.4</c:v>
                </c:pt>
                <c:pt idx="63">
                  <c:v>0.39</c:v>
                </c:pt>
                <c:pt idx="64">
                  <c:v>0.38</c:v>
                </c:pt>
                <c:pt idx="65">
                  <c:v>0.38</c:v>
                </c:pt>
                <c:pt idx="66">
                  <c:v>0.38</c:v>
                </c:pt>
                <c:pt idx="67">
                  <c:v>0.38</c:v>
                </c:pt>
                <c:pt idx="68">
                  <c:v>0.37</c:v>
                </c:pt>
                <c:pt idx="69">
                  <c:v>0.37</c:v>
                </c:pt>
                <c:pt idx="70">
                  <c:v>0.36</c:v>
                </c:pt>
                <c:pt idx="71">
                  <c:v>0.35</c:v>
                </c:pt>
                <c:pt idx="72">
                  <c:v>0.35</c:v>
                </c:pt>
                <c:pt idx="73">
                  <c:v>0.34</c:v>
                </c:pt>
                <c:pt idx="74">
                  <c:v>0.34</c:v>
                </c:pt>
                <c:pt idx="75">
                  <c:v>0.34</c:v>
                </c:pt>
                <c:pt idx="76">
                  <c:v>0.34</c:v>
                </c:pt>
                <c:pt idx="77">
                  <c:v>0.33</c:v>
                </c:pt>
                <c:pt idx="78">
                  <c:v>0.33</c:v>
                </c:pt>
                <c:pt idx="79">
                  <c:v>0.32</c:v>
                </c:pt>
                <c:pt idx="80">
                  <c:v>0.3</c:v>
                </c:pt>
                <c:pt idx="81">
                  <c:v>0.28999999999999998</c:v>
                </c:pt>
                <c:pt idx="82">
                  <c:v>0.27</c:v>
                </c:pt>
                <c:pt idx="83">
                  <c:v>0.27</c:v>
                </c:pt>
                <c:pt idx="84">
                  <c:v>0.27</c:v>
                </c:pt>
                <c:pt idx="85">
                  <c:v>0.26</c:v>
                </c:pt>
                <c:pt idx="86">
                  <c:v>0.25</c:v>
                </c:pt>
                <c:pt idx="87">
                  <c:v>0.24</c:v>
                </c:pt>
                <c:pt idx="88">
                  <c:v>0.24</c:v>
                </c:pt>
                <c:pt idx="89">
                  <c:v>0.23</c:v>
                </c:pt>
                <c:pt idx="90">
                  <c:v>0.22</c:v>
                </c:pt>
                <c:pt idx="91">
                  <c:v>0.22</c:v>
                </c:pt>
                <c:pt idx="92">
                  <c:v>0.21</c:v>
                </c:pt>
                <c:pt idx="93">
                  <c:v>0.2</c:v>
                </c:pt>
                <c:pt idx="94">
                  <c:v>0.19</c:v>
                </c:pt>
                <c:pt idx="95">
                  <c:v>0.18</c:v>
                </c:pt>
                <c:pt idx="96">
                  <c:v>0.14000000000000001</c:v>
                </c:pt>
                <c:pt idx="97">
                  <c:v>0.14000000000000001</c:v>
                </c:pt>
                <c:pt idx="98">
                  <c:v>0.13</c:v>
                </c:pt>
                <c:pt idx="99">
                  <c:v>0.11</c:v>
                </c:pt>
                <c:pt idx="100">
                  <c:v>0.09</c:v>
                </c:pt>
                <c:pt idx="101">
                  <c:v>0.08</c:v>
                </c:pt>
                <c:pt idx="102">
                  <c:v>0.04</c:v>
                </c:pt>
                <c:pt idx="103">
                  <c:v>0.04</c:v>
                </c:pt>
                <c:pt idx="104">
                  <c:v>0.03</c:v>
                </c:pt>
                <c:pt idx="105">
                  <c:v>0.02</c:v>
                </c:pt>
                <c:pt idx="106">
                  <c:v>0.02</c:v>
                </c:pt>
                <c:pt idx="107">
                  <c:v>0.02</c:v>
                </c:pt>
                <c:pt idx="108">
                  <c:v>0.02</c:v>
                </c:pt>
                <c:pt idx="109">
                  <c:v>0.02</c:v>
                </c:pt>
                <c:pt idx="110">
                  <c:v>0.02</c:v>
                </c:pt>
                <c:pt idx="111">
                  <c:v>0.01</c:v>
                </c:pt>
              </c:numCache>
            </c:numRef>
          </c:xVal>
          <c:yVal>
            <c:numRef>
              <c:f>Clean!$F$2:$F$1048576</c:f>
              <c:numCache>
                <c:formatCode>0</c:formatCode>
                <c:ptCount val="1048575"/>
                <c:pt idx="2">
                  <c:v>13</c:v>
                </c:pt>
                <c:pt idx="3">
                  <c:v>5</c:v>
                </c:pt>
                <c:pt idx="5">
                  <c:v>7</c:v>
                </c:pt>
                <c:pt idx="6">
                  <c:v>10</c:v>
                </c:pt>
                <c:pt idx="7">
                  <c:v>13</c:v>
                </c:pt>
                <c:pt idx="8">
                  <c:v>2</c:v>
                </c:pt>
                <c:pt idx="9">
                  <c:v>9</c:v>
                </c:pt>
                <c:pt idx="10">
                  <c:v>15</c:v>
                </c:pt>
                <c:pt idx="11">
                  <c:v>2</c:v>
                </c:pt>
                <c:pt idx="13">
                  <c:v>7</c:v>
                </c:pt>
                <c:pt idx="18">
                  <c:v>1</c:v>
                </c:pt>
                <c:pt idx="19">
                  <c:v>69</c:v>
                </c:pt>
                <c:pt idx="20">
                  <c:v>44</c:v>
                </c:pt>
                <c:pt idx="27">
                  <c:v>1</c:v>
                </c:pt>
                <c:pt idx="31">
                  <c:v>1</c:v>
                </c:pt>
                <c:pt idx="32">
                  <c:v>3</c:v>
                </c:pt>
                <c:pt idx="34">
                  <c:v>9</c:v>
                </c:pt>
                <c:pt idx="38">
                  <c:v>12</c:v>
                </c:pt>
                <c:pt idx="40">
                  <c:v>6</c:v>
                </c:pt>
                <c:pt idx="42">
                  <c:v>7</c:v>
                </c:pt>
                <c:pt idx="43">
                  <c:v>14</c:v>
                </c:pt>
                <c:pt idx="44">
                  <c:v>1</c:v>
                </c:pt>
                <c:pt idx="46">
                  <c:v>2</c:v>
                </c:pt>
                <c:pt idx="47">
                  <c:v>5</c:v>
                </c:pt>
                <c:pt idx="48">
                  <c:v>17</c:v>
                </c:pt>
                <c:pt idx="49">
                  <c:v>6</c:v>
                </c:pt>
                <c:pt idx="53">
                  <c:v>6</c:v>
                </c:pt>
                <c:pt idx="54">
                  <c:v>5</c:v>
                </c:pt>
                <c:pt idx="58">
                  <c:v>6</c:v>
                </c:pt>
                <c:pt idx="61">
                  <c:v>36</c:v>
                </c:pt>
                <c:pt idx="62">
                  <c:v>1</c:v>
                </c:pt>
                <c:pt idx="63">
                  <c:v>5</c:v>
                </c:pt>
                <c:pt idx="64">
                  <c:v>2</c:v>
                </c:pt>
                <c:pt idx="65">
                  <c:v>2</c:v>
                </c:pt>
                <c:pt idx="68">
                  <c:v>2</c:v>
                </c:pt>
                <c:pt idx="69">
                  <c:v>7</c:v>
                </c:pt>
                <c:pt idx="71">
                  <c:v>49</c:v>
                </c:pt>
                <c:pt idx="72">
                  <c:v>6</c:v>
                </c:pt>
                <c:pt idx="73">
                  <c:v>39</c:v>
                </c:pt>
                <c:pt idx="74">
                  <c:v>12</c:v>
                </c:pt>
                <c:pt idx="78">
                  <c:v>9</c:v>
                </c:pt>
                <c:pt idx="79">
                  <c:v>13</c:v>
                </c:pt>
                <c:pt idx="80">
                  <c:v>20</c:v>
                </c:pt>
                <c:pt idx="81">
                  <c:v>5</c:v>
                </c:pt>
                <c:pt idx="83">
                  <c:v>32</c:v>
                </c:pt>
                <c:pt idx="84">
                  <c:v>20</c:v>
                </c:pt>
                <c:pt idx="85">
                  <c:v>5</c:v>
                </c:pt>
                <c:pt idx="86">
                  <c:v>24</c:v>
                </c:pt>
                <c:pt idx="87">
                  <c:v>55</c:v>
                </c:pt>
                <c:pt idx="89">
                  <c:v>14</c:v>
                </c:pt>
                <c:pt idx="91">
                  <c:v>16</c:v>
                </c:pt>
                <c:pt idx="92">
                  <c:v>1</c:v>
                </c:pt>
                <c:pt idx="93">
                  <c:v>12</c:v>
                </c:pt>
                <c:pt idx="94">
                  <c:v>5</c:v>
                </c:pt>
                <c:pt idx="95">
                  <c:v>12</c:v>
                </c:pt>
                <c:pt idx="98">
                  <c:v>6</c:v>
                </c:pt>
                <c:pt idx="100">
                  <c:v>15</c:v>
                </c:pt>
              </c:numCache>
            </c:numRef>
          </c:yVal>
          <c:smooth val="0"/>
          <c:extLst>
            <c:ext xmlns:c16="http://schemas.microsoft.com/office/drawing/2014/chart" uri="{C3380CC4-5D6E-409C-BE32-E72D297353CC}">
              <c16:uniqueId val="{00000000-BB82-4457-A5B6-96022BFA4848}"/>
            </c:ext>
          </c:extLst>
        </c:ser>
        <c:dLbls>
          <c:showLegendKey val="0"/>
          <c:showVal val="0"/>
          <c:showCatName val="0"/>
          <c:showSerName val="0"/>
          <c:showPercent val="0"/>
          <c:showBubbleSize val="0"/>
        </c:dLbls>
        <c:axId val="228127887"/>
        <c:axId val="228128303"/>
      </c:scatterChart>
      <c:valAx>
        <c:axId val="2281278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28303"/>
        <c:crosses val="autoZero"/>
        <c:crossBetween val="midCat"/>
      </c:valAx>
      <c:valAx>
        <c:axId val="228128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1278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baseline="0">
                <a:effectLst/>
              </a:rPr>
              <a:t>relationship between and reviews and ratings</a:t>
            </a:r>
            <a:endParaRPr lang="en-US" sz="1200">
              <a:effectLst/>
            </a:endParaRPr>
          </a:p>
        </c:rich>
      </c:tx>
      <c:layout>
        <c:manualLayout>
          <c:xMode val="edge"/>
          <c:yMode val="edge"/>
          <c:x val="0.20350011366689399"/>
          <c:y val="2.77779260643267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strRef>
              <c:f>Clean!$G$1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Clean!$F$2:$F$1048576</c:f>
              <c:numCache>
                <c:formatCode>0</c:formatCode>
                <c:ptCount val="1048575"/>
                <c:pt idx="2">
                  <c:v>13</c:v>
                </c:pt>
                <c:pt idx="3">
                  <c:v>5</c:v>
                </c:pt>
                <c:pt idx="5">
                  <c:v>7</c:v>
                </c:pt>
                <c:pt idx="6">
                  <c:v>10</c:v>
                </c:pt>
                <c:pt idx="7">
                  <c:v>13</c:v>
                </c:pt>
                <c:pt idx="8">
                  <c:v>2</c:v>
                </c:pt>
                <c:pt idx="9">
                  <c:v>9</c:v>
                </c:pt>
                <c:pt idx="10">
                  <c:v>15</c:v>
                </c:pt>
                <c:pt idx="11">
                  <c:v>2</c:v>
                </c:pt>
                <c:pt idx="13">
                  <c:v>7</c:v>
                </c:pt>
                <c:pt idx="18">
                  <c:v>1</c:v>
                </c:pt>
                <c:pt idx="19">
                  <c:v>69</c:v>
                </c:pt>
                <c:pt idx="20">
                  <c:v>44</c:v>
                </c:pt>
                <c:pt idx="27">
                  <c:v>1</c:v>
                </c:pt>
                <c:pt idx="31">
                  <c:v>1</c:v>
                </c:pt>
                <c:pt idx="32">
                  <c:v>3</c:v>
                </c:pt>
                <c:pt idx="34">
                  <c:v>9</c:v>
                </c:pt>
                <c:pt idx="38">
                  <c:v>12</c:v>
                </c:pt>
                <c:pt idx="40">
                  <c:v>6</c:v>
                </c:pt>
                <c:pt idx="42">
                  <c:v>7</c:v>
                </c:pt>
                <c:pt idx="43">
                  <c:v>14</c:v>
                </c:pt>
                <c:pt idx="44">
                  <c:v>1</c:v>
                </c:pt>
                <c:pt idx="46">
                  <c:v>2</c:v>
                </c:pt>
                <c:pt idx="47">
                  <c:v>5</c:v>
                </c:pt>
                <c:pt idx="48">
                  <c:v>17</c:v>
                </c:pt>
                <c:pt idx="49">
                  <c:v>6</c:v>
                </c:pt>
                <c:pt idx="53">
                  <c:v>6</c:v>
                </c:pt>
                <c:pt idx="54">
                  <c:v>5</c:v>
                </c:pt>
                <c:pt idx="58">
                  <c:v>6</c:v>
                </c:pt>
                <c:pt idx="61">
                  <c:v>36</c:v>
                </c:pt>
                <c:pt idx="62">
                  <c:v>1</c:v>
                </c:pt>
                <c:pt idx="63">
                  <c:v>5</c:v>
                </c:pt>
                <c:pt idx="64">
                  <c:v>2</c:v>
                </c:pt>
                <c:pt idx="65">
                  <c:v>2</c:v>
                </c:pt>
                <c:pt idx="68">
                  <c:v>2</c:v>
                </c:pt>
                <c:pt idx="69">
                  <c:v>7</c:v>
                </c:pt>
                <c:pt idx="71">
                  <c:v>49</c:v>
                </c:pt>
                <c:pt idx="72">
                  <c:v>6</c:v>
                </c:pt>
                <c:pt idx="73">
                  <c:v>39</c:v>
                </c:pt>
                <c:pt idx="74">
                  <c:v>12</c:v>
                </c:pt>
                <c:pt idx="78">
                  <c:v>9</c:v>
                </c:pt>
                <c:pt idx="79">
                  <c:v>13</c:v>
                </c:pt>
                <c:pt idx="80">
                  <c:v>20</c:v>
                </c:pt>
                <c:pt idx="81">
                  <c:v>5</c:v>
                </c:pt>
                <c:pt idx="83">
                  <c:v>32</c:v>
                </c:pt>
                <c:pt idx="84">
                  <c:v>20</c:v>
                </c:pt>
                <c:pt idx="85">
                  <c:v>5</c:v>
                </c:pt>
                <c:pt idx="86">
                  <c:v>24</c:v>
                </c:pt>
                <c:pt idx="87">
                  <c:v>55</c:v>
                </c:pt>
                <c:pt idx="89">
                  <c:v>14</c:v>
                </c:pt>
                <c:pt idx="91">
                  <c:v>16</c:v>
                </c:pt>
                <c:pt idx="92">
                  <c:v>1</c:v>
                </c:pt>
                <c:pt idx="93">
                  <c:v>12</c:v>
                </c:pt>
                <c:pt idx="94">
                  <c:v>5</c:v>
                </c:pt>
                <c:pt idx="95">
                  <c:v>12</c:v>
                </c:pt>
                <c:pt idx="98">
                  <c:v>6</c:v>
                </c:pt>
                <c:pt idx="100">
                  <c:v>15</c:v>
                </c:pt>
              </c:numCache>
            </c:numRef>
          </c:xVal>
          <c:yVal>
            <c:numRef>
              <c:f>Clean!$G$2:$G$1048576</c:f>
              <c:numCache>
                <c:formatCode>General</c:formatCode>
                <c:ptCount val="1048575"/>
                <c:pt idx="2">
                  <c:v>2.1</c:v>
                </c:pt>
                <c:pt idx="3">
                  <c:v>4.8</c:v>
                </c:pt>
                <c:pt idx="5">
                  <c:v>4.3</c:v>
                </c:pt>
                <c:pt idx="6">
                  <c:v>3</c:v>
                </c:pt>
                <c:pt idx="7">
                  <c:v>3.3</c:v>
                </c:pt>
                <c:pt idx="8">
                  <c:v>5</c:v>
                </c:pt>
                <c:pt idx="9">
                  <c:v>4.3</c:v>
                </c:pt>
                <c:pt idx="10">
                  <c:v>2.7</c:v>
                </c:pt>
                <c:pt idx="11">
                  <c:v>5</c:v>
                </c:pt>
                <c:pt idx="13">
                  <c:v>2.2999999999999998</c:v>
                </c:pt>
                <c:pt idx="18">
                  <c:v>2</c:v>
                </c:pt>
                <c:pt idx="19">
                  <c:v>2.8</c:v>
                </c:pt>
                <c:pt idx="20">
                  <c:v>4.5999999999999996</c:v>
                </c:pt>
                <c:pt idx="27">
                  <c:v>5</c:v>
                </c:pt>
                <c:pt idx="31">
                  <c:v>4</c:v>
                </c:pt>
                <c:pt idx="32">
                  <c:v>5</c:v>
                </c:pt>
                <c:pt idx="34">
                  <c:v>4.3</c:v>
                </c:pt>
                <c:pt idx="38">
                  <c:v>4.8</c:v>
                </c:pt>
                <c:pt idx="40">
                  <c:v>2.2000000000000002</c:v>
                </c:pt>
                <c:pt idx="42">
                  <c:v>2.1</c:v>
                </c:pt>
                <c:pt idx="43">
                  <c:v>4.0999999999999996</c:v>
                </c:pt>
                <c:pt idx="44">
                  <c:v>3</c:v>
                </c:pt>
                <c:pt idx="46">
                  <c:v>5</c:v>
                </c:pt>
                <c:pt idx="47">
                  <c:v>3.8</c:v>
                </c:pt>
                <c:pt idx="48">
                  <c:v>2.6</c:v>
                </c:pt>
                <c:pt idx="49">
                  <c:v>2.2000000000000002</c:v>
                </c:pt>
                <c:pt idx="53">
                  <c:v>2.2999999999999998</c:v>
                </c:pt>
                <c:pt idx="54">
                  <c:v>3</c:v>
                </c:pt>
                <c:pt idx="58">
                  <c:v>4.5</c:v>
                </c:pt>
                <c:pt idx="61">
                  <c:v>4.3</c:v>
                </c:pt>
                <c:pt idx="62">
                  <c:v>5</c:v>
                </c:pt>
                <c:pt idx="63">
                  <c:v>3</c:v>
                </c:pt>
                <c:pt idx="64">
                  <c:v>4.5</c:v>
                </c:pt>
                <c:pt idx="65">
                  <c:v>4.5</c:v>
                </c:pt>
                <c:pt idx="68">
                  <c:v>4</c:v>
                </c:pt>
                <c:pt idx="69">
                  <c:v>4.7</c:v>
                </c:pt>
                <c:pt idx="71">
                  <c:v>4.5999999999999996</c:v>
                </c:pt>
                <c:pt idx="72">
                  <c:v>4</c:v>
                </c:pt>
                <c:pt idx="73">
                  <c:v>4.7</c:v>
                </c:pt>
                <c:pt idx="74">
                  <c:v>4.7</c:v>
                </c:pt>
                <c:pt idx="78">
                  <c:v>4.2</c:v>
                </c:pt>
                <c:pt idx="79">
                  <c:v>3.8</c:v>
                </c:pt>
                <c:pt idx="80">
                  <c:v>4.0999999999999996</c:v>
                </c:pt>
                <c:pt idx="81">
                  <c:v>3</c:v>
                </c:pt>
                <c:pt idx="83">
                  <c:v>4.5</c:v>
                </c:pt>
                <c:pt idx="84">
                  <c:v>4.7</c:v>
                </c:pt>
                <c:pt idx="85">
                  <c:v>4.8</c:v>
                </c:pt>
                <c:pt idx="86">
                  <c:v>4.5999999999999996</c:v>
                </c:pt>
                <c:pt idx="87">
                  <c:v>4.5999999999999996</c:v>
                </c:pt>
                <c:pt idx="89">
                  <c:v>4.4000000000000004</c:v>
                </c:pt>
                <c:pt idx="91">
                  <c:v>2.9</c:v>
                </c:pt>
                <c:pt idx="92">
                  <c:v>5</c:v>
                </c:pt>
                <c:pt idx="93">
                  <c:v>4.0999999999999996</c:v>
                </c:pt>
                <c:pt idx="94">
                  <c:v>4.5999999999999996</c:v>
                </c:pt>
                <c:pt idx="95">
                  <c:v>3.8</c:v>
                </c:pt>
                <c:pt idx="98">
                  <c:v>2.5</c:v>
                </c:pt>
                <c:pt idx="100">
                  <c:v>4</c:v>
                </c:pt>
              </c:numCache>
            </c:numRef>
          </c:yVal>
          <c:smooth val="0"/>
          <c:extLst>
            <c:ext xmlns:c16="http://schemas.microsoft.com/office/drawing/2014/chart" uri="{C3380CC4-5D6E-409C-BE32-E72D297353CC}">
              <c16:uniqueId val="{00000000-E576-43F6-825C-9B9AB13F3931}"/>
            </c:ext>
          </c:extLst>
        </c:ser>
        <c:dLbls>
          <c:showLegendKey val="0"/>
          <c:showVal val="0"/>
          <c:showCatName val="0"/>
          <c:showSerName val="0"/>
          <c:showPercent val="0"/>
          <c:showBubbleSize val="0"/>
        </c:dLbls>
        <c:axId val="678739231"/>
        <c:axId val="678741727"/>
      </c:scatterChart>
      <c:valAx>
        <c:axId val="6787392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41727"/>
        <c:crosses val="autoZero"/>
        <c:crossBetween val="midCat"/>
      </c:valAx>
      <c:valAx>
        <c:axId val="678741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392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Finalised.xlsx]Sheet3!PivotTable2</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Sheet3!$B$3:$B$4</c:f>
              <c:strCache>
                <c:ptCount val="1"/>
                <c:pt idx="0">
                  <c:v>High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7E-4839-A74D-BC2C057D7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7E-4839-A74D-BC2C057D7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7E-4839-A74D-BC2C057D7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7E-4839-A74D-BC2C057D7338}"/>
              </c:ext>
            </c:extLst>
          </c:dPt>
          <c:cat>
            <c:strRef>
              <c:f>Sheet3!$A$5:$A$9</c:f>
              <c:strCache>
                <c:ptCount val="4"/>
                <c:pt idx="0">
                  <c:v>Average</c:v>
                </c:pt>
                <c:pt idx="1">
                  <c:v>Excellent</c:v>
                </c:pt>
                <c:pt idx="2">
                  <c:v>Not Reviewed</c:v>
                </c:pt>
                <c:pt idx="3">
                  <c:v>Poor</c:v>
                </c:pt>
              </c:strCache>
            </c:strRef>
          </c:cat>
          <c:val>
            <c:numRef>
              <c:f>Sheet3!$B$5:$B$9</c:f>
              <c:numCache>
                <c:formatCode>General</c:formatCode>
                <c:ptCount val="4"/>
                <c:pt idx="0">
                  <c:v>11</c:v>
                </c:pt>
                <c:pt idx="1">
                  <c:v>9</c:v>
                </c:pt>
                <c:pt idx="2">
                  <c:v>32</c:v>
                </c:pt>
                <c:pt idx="3">
                  <c:v>10</c:v>
                </c:pt>
              </c:numCache>
            </c:numRef>
          </c:val>
          <c:extLst>
            <c:ext xmlns:c16="http://schemas.microsoft.com/office/drawing/2014/chart" uri="{C3380CC4-5D6E-409C-BE32-E72D297353CC}">
              <c16:uniqueId val="{00000008-C17E-4839-A74D-BC2C057D7338}"/>
            </c:ext>
          </c:extLst>
        </c:ser>
        <c:ser>
          <c:idx val="1"/>
          <c:order val="1"/>
          <c:tx>
            <c:strRef>
              <c:f>Sheet3!$C$3:$C$4</c:f>
              <c:strCache>
                <c:ptCount val="1"/>
                <c:pt idx="0">
                  <c:v>Low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AA5A-47CE-82F9-7E434BE04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AA5A-47CE-82F9-7E434BE04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AA5A-47CE-82F9-7E434BE04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AA5A-47CE-82F9-7E434BE0454E}"/>
              </c:ext>
            </c:extLst>
          </c:dPt>
          <c:cat>
            <c:strRef>
              <c:f>Sheet3!$A$5:$A$9</c:f>
              <c:strCache>
                <c:ptCount val="4"/>
                <c:pt idx="0">
                  <c:v>Average</c:v>
                </c:pt>
                <c:pt idx="1">
                  <c:v>Excellent</c:v>
                </c:pt>
                <c:pt idx="2">
                  <c:v>Not Reviewed</c:v>
                </c:pt>
                <c:pt idx="3">
                  <c:v>Poor</c:v>
                </c:pt>
              </c:strCache>
            </c:strRef>
          </c:cat>
          <c:val>
            <c:numRef>
              <c:f>Sheet3!$C$5:$C$9</c:f>
              <c:numCache>
                <c:formatCode>General</c:formatCode>
                <c:ptCount val="4"/>
                <c:pt idx="0">
                  <c:v>2</c:v>
                </c:pt>
                <c:pt idx="1">
                  <c:v>1</c:v>
                </c:pt>
                <c:pt idx="2">
                  <c:v>14</c:v>
                </c:pt>
                <c:pt idx="3">
                  <c:v>1</c:v>
                </c:pt>
              </c:numCache>
            </c:numRef>
          </c:val>
          <c:extLst>
            <c:ext xmlns:c16="http://schemas.microsoft.com/office/drawing/2014/chart" uri="{C3380CC4-5D6E-409C-BE32-E72D297353CC}">
              <c16:uniqueId val="{0000001D-C17E-4839-A74D-BC2C057D7338}"/>
            </c:ext>
          </c:extLst>
        </c:ser>
        <c:ser>
          <c:idx val="2"/>
          <c:order val="2"/>
          <c:tx>
            <c:strRef>
              <c:f>Sheet3!$D$3:$D$4</c:f>
              <c:strCache>
                <c:ptCount val="1"/>
                <c:pt idx="0">
                  <c:v>Medium Discount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AA5A-47CE-82F9-7E434BE045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AA5A-47CE-82F9-7E434BE045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AA5A-47CE-82F9-7E434BE045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AA5A-47CE-82F9-7E434BE0454E}"/>
              </c:ext>
            </c:extLst>
          </c:dPt>
          <c:cat>
            <c:strRef>
              <c:f>Sheet3!$A$5:$A$9</c:f>
              <c:strCache>
                <c:ptCount val="4"/>
                <c:pt idx="0">
                  <c:v>Average</c:v>
                </c:pt>
                <c:pt idx="1">
                  <c:v>Excellent</c:v>
                </c:pt>
                <c:pt idx="2">
                  <c:v>Not Reviewed</c:v>
                </c:pt>
                <c:pt idx="3">
                  <c:v>Poor</c:v>
                </c:pt>
              </c:strCache>
            </c:strRef>
          </c:cat>
          <c:val>
            <c:numRef>
              <c:f>Sheet3!$D$5:$D$9</c:f>
              <c:numCache>
                <c:formatCode>General</c:formatCode>
                <c:ptCount val="4"/>
                <c:pt idx="0">
                  <c:v>9</c:v>
                </c:pt>
                <c:pt idx="1">
                  <c:v>13</c:v>
                </c:pt>
                <c:pt idx="2">
                  <c:v>9</c:v>
                </c:pt>
                <c:pt idx="3">
                  <c:v>1</c:v>
                </c:pt>
              </c:numCache>
            </c:numRef>
          </c:val>
          <c:extLst>
            <c:ext xmlns:c16="http://schemas.microsoft.com/office/drawing/2014/chart" uri="{C3380CC4-5D6E-409C-BE32-E72D297353CC}">
              <c16:uniqueId val="{0000001E-C17E-4839-A74D-BC2C057D733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 Finalised.xlsx]Product performance!PivotTable1</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'Product performance'!$B$3</c:f>
              <c:strCache>
                <c:ptCount val="1"/>
                <c:pt idx="0">
                  <c:v>Max of Review</c:v>
                </c:pt>
              </c:strCache>
            </c:strRef>
          </c:tx>
          <c:spPr>
            <a:solidFill>
              <a:schemeClr val="accent1"/>
            </a:solidFill>
            <a:ln>
              <a:noFill/>
            </a:ln>
            <a:effectLst/>
          </c:spPr>
          <c:invertIfNegative val="0"/>
          <c:cat>
            <c:strRef>
              <c:f>'Product performance'!$A$4:$A$113</c:f>
              <c:strCache>
                <c:ptCount val="109"/>
                <c:pt idx="0">
                  <c:v>1/2/3 Seater Elastic Sofa Cover,Living Room/Home Decor Chair Cover 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UK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 mounted Sundries Organiser Fabric Closet Bag Storage Rack</c:v>
                </c:pt>
                <c:pt idx="13">
                  <c:v>2PCS Ice Silk Square Cushion Cover Pillowcases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PCS Stainless Steel Cooking Pot Set With Steamed Slices</c:v>
                </c:pt>
                <c:pt idx="26">
                  <c:v>5 Pieces/set Of Stainless Steel Induction Cooker Pots</c:v>
                </c:pt>
                <c:pt idx="27">
                  <c:v>52 Pieces Cake Decorating Tool Set Gift Kit Baking Supplies</c:v>
                </c:pt>
                <c:pt idx="28">
                  <c:v>53 Pieces/Set Yarn Knitting Crochet Hooks With Bag   Pansies</c:v>
                </c:pt>
                <c:pt idx="29">
                  <c:v>53Pcs/Set Yarn Knitting Crochet Hooks With Bag   Fortune Cat</c:v>
                </c:pt>
                <c:pt idx="30">
                  <c:v>5m Waterproof Spherical LED String Lights Outdoor Ball Chain Lights Party Lighting Decoration Adjustable</c:v>
                </c:pt>
                <c:pt idx="31">
                  <c:v>6 In 1 Bottle Can Opener Multifunctional Easy Opener</c:v>
                </c:pt>
                <c:pt idx="32">
                  <c:v>6 Layers Steel Pipe Assembling Dustproof Storage Shoe Cabinet</c:v>
                </c:pt>
                <c:pt idx="33">
                  <c:v>60W Hot Melt Glue Sprayer   Efficient And Stable Glue Dispensing</c:v>
                </c:pt>
                <c:pt idx="34">
                  <c:v>7 piece Set Of Storage Bags, Travel Storage Bags, Shoe Bags</c:v>
                </c:pt>
                <c:pt idx="35">
                  <c:v>7PCS Silicone Thumb Knife Finger Protector Vegetable Harvesting Knife</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 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 hour Heat Preservation,1.5L,800W, White</c:v>
                </c:pt>
                <c:pt idx="66">
                  <c:v>Large Lazy Inflatable Sofa Chairs PVC Lounger Seat Bag</c:v>
                </c:pt>
                <c:pt idx="67">
                  <c:v>LASA 3 Tier Bamboo Shoe Bench Storage Shelf</c:v>
                </c:pt>
                <c:pt idx="68">
                  <c:v>LASA Aluminum Folding Truck Hand Cart   68kg Max</c:v>
                </c:pt>
                <c:pt idx="69">
                  <c:v>LASA Digital Thermometer And Hydrometer</c:v>
                </c:pt>
                <c:pt idx="70">
                  <c:v>LASA FOLDING TABLE SERVING STAND</c:v>
                </c:pt>
                <c:pt idx="71">
                  <c:v>LASA Stainless Steel Double Wall Mount Soap Dispenser   500ml</c:v>
                </c:pt>
                <c:pt idx="72">
                  <c:v>LED Eye Protection  Desk Lamp , Study, Reading, USB Fan   Double Pen Holder</c:v>
                </c:pt>
                <c:pt idx="73">
                  <c:v>LED Romantic Spaceship Starry Sky Projector,Children's Bedroom Night Light Blue</c:v>
                </c:pt>
                <c:pt idx="74">
                  <c:v>LED Solar Street Light fake Camera</c:v>
                </c:pt>
                <c:pt idx="75">
                  <c:v>LED Wall Digital Alarm Clock Study Home 12 / 24H Clock Calendar</c:v>
                </c:pt>
                <c:pt idx="76">
                  <c:v>Memory Foam Neck Pillow Cover, With Pillow Core   50*30cm</c:v>
                </c:pt>
                <c:pt idx="77">
                  <c:v>Metal Decorative Hooks Key Hangers Entryway Wall Hooks Towel Hooks   Home</c:v>
                </c:pt>
                <c:pt idx="78">
                  <c:v>Metal Wall Clock Silver Dial Crystal Jewelry Round Home Decoration Wall Clock</c:v>
                </c:pt>
                <c:pt idx="79">
                  <c:v>Modern Sofa Throw Pillow Cover 45x45cm Blue&amp;Red</c:v>
                </c:pt>
                <c:pt idx="80">
                  <c:v>Multi purpose Rice Drainage Basket And Fruit And Vegetable Drainage Sieve</c:v>
                </c:pt>
                <c:pt idx="81">
                  <c:v>Multifunction Laser Level With Adjustment Tripod</c:v>
                </c:pt>
                <c:pt idx="82">
                  <c:v>Multifunctional Hanging Storage Box Storage Bag (4 Layers)</c:v>
                </c:pt>
                <c:pt idx="83">
                  <c:v>MultiFunctional Storage Rack Multi layer Booelf</c:v>
                </c:pt>
                <c:pt idx="84">
                  <c:v>Mythco 120COB Solar Wall Ligt With Motion Sensor And Remote Control 3 Modes</c:v>
                </c:pt>
                <c:pt idx="85">
                  <c:v>Office Chair Lumbar Back Support Spine Posture Correction Pillow Car Cushion</c:v>
                </c:pt>
                <c:pt idx="86">
                  <c:v>Outdoor Portable Water Bottle With Medicine Box   600ML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 Speed Fan   Green</c:v>
                </c:pt>
                <c:pt idx="91">
                  <c:v>Portable Mini Cordless Car Vacuum Cleaner   Blue</c:v>
                </c:pt>
                <c:pt idx="92">
                  <c:v>Portable Soap Dispenser Kitchen Detergent Press Box Kitchen Tools</c:v>
                </c:pt>
                <c:pt idx="93">
                  <c:v>Portable Wardrobe Nonwoven With 3 Hanging Rods And 6 Storage Shelves</c:v>
                </c:pt>
                <c:pt idx="94">
                  <c:v>Portable Wine Table With Folding Round Table</c:v>
                </c:pt>
                <c:pt idx="95">
                  <c:v>Punch free Great Load Bearing Bathroom Storage Rack Wall Shelf 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 mounted Sticker Punch free Plug Fixer</c:v>
                </c:pt>
                <c:pt idx="105">
                  <c:v>Wall Mounted Toothbrush Toothpaste Holder With Multiple Slots</c:v>
                </c:pt>
                <c:pt idx="106">
                  <c:v>Watercolour Gold Foil Textured Print Pillow Cover</c:v>
                </c:pt>
                <c:pt idx="107">
                  <c:v>Weighing Scale Digital Bathroom Body Fat Scale USB Black</c:v>
                </c:pt>
                <c:pt idx="108">
                  <c:v>Wrought Iron Bathroom Shelf Wall Mounted Free Punch Toilet Rack</c:v>
                </c:pt>
              </c:strCache>
            </c:strRef>
          </c:cat>
          <c:val>
            <c:numRef>
              <c:f>'Product performance'!$B$4:$B$113</c:f>
              <c:numCache>
                <c:formatCode>General</c:formatCode>
                <c:ptCount val="109"/>
                <c:pt idx="0">
                  <c:v>2</c:v>
                </c:pt>
                <c:pt idx="1">
                  <c:v>39</c:v>
                </c:pt>
                <c:pt idx="2">
                  <c:v>2</c:v>
                </c:pt>
                <c:pt idx="3">
                  <c:v>13</c:v>
                </c:pt>
                <c:pt idx="4">
                  <c:v>12</c:v>
                </c:pt>
                <c:pt idx="5">
                  <c:v>69</c:v>
                </c:pt>
                <c:pt idx="7">
                  <c:v>5</c:v>
                </c:pt>
                <c:pt idx="8">
                  <c:v>55</c:v>
                </c:pt>
                <c:pt idx="11">
                  <c:v>15</c:v>
                </c:pt>
                <c:pt idx="16">
                  <c:v>5</c:v>
                </c:pt>
                <c:pt idx="17">
                  <c:v>7</c:v>
                </c:pt>
                <c:pt idx="18">
                  <c:v>44</c:v>
                </c:pt>
                <c:pt idx="20">
                  <c:v>13</c:v>
                </c:pt>
                <c:pt idx="22">
                  <c:v>12</c:v>
                </c:pt>
                <c:pt idx="25">
                  <c:v>13</c:v>
                </c:pt>
                <c:pt idx="26">
                  <c:v>6</c:v>
                </c:pt>
                <c:pt idx="27">
                  <c:v>20</c:v>
                </c:pt>
                <c:pt idx="28">
                  <c:v>32</c:v>
                </c:pt>
                <c:pt idx="29">
                  <c:v>20</c:v>
                </c:pt>
                <c:pt idx="34">
                  <c:v>6</c:v>
                </c:pt>
                <c:pt idx="38">
                  <c:v>17</c:v>
                </c:pt>
                <c:pt idx="40">
                  <c:v>2</c:v>
                </c:pt>
                <c:pt idx="41">
                  <c:v>6</c:v>
                </c:pt>
                <c:pt idx="44">
                  <c:v>1</c:v>
                </c:pt>
                <c:pt idx="52">
                  <c:v>2</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2">
                  <c:v>9</c:v>
                </c:pt>
                <c:pt idx="73">
                  <c:v>6</c:v>
                </c:pt>
                <c:pt idx="75">
                  <c:v>5</c:v>
                </c:pt>
                <c:pt idx="76">
                  <c:v>1</c:v>
                </c:pt>
                <c:pt idx="77">
                  <c:v>14</c:v>
                </c:pt>
                <c:pt idx="81">
                  <c:v>9</c:v>
                </c:pt>
                <c:pt idx="84">
                  <c:v>10</c:v>
                </c:pt>
                <c:pt idx="87">
                  <c:v>2</c:v>
                </c:pt>
                <c:pt idx="90">
                  <c:v>5</c:v>
                </c:pt>
                <c:pt idx="91">
                  <c:v>24</c:v>
                </c:pt>
                <c:pt idx="93">
                  <c:v>12</c:v>
                </c:pt>
                <c:pt idx="95">
                  <c:v>36</c:v>
                </c:pt>
                <c:pt idx="101">
                  <c:v>16</c:v>
                </c:pt>
                <c:pt idx="104">
                  <c:v>1</c:v>
                </c:pt>
                <c:pt idx="106">
                  <c:v>6</c:v>
                </c:pt>
                <c:pt idx="107">
                  <c:v>7</c:v>
                </c:pt>
                <c:pt idx="108">
                  <c:v>5</c:v>
                </c:pt>
              </c:numCache>
            </c:numRef>
          </c:val>
          <c:extLst>
            <c:ext xmlns:c16="http://schemas.microsoft.com/office/drawing/2014/chart" uri="{C3380CC4-5D6E-409C-BE32-E72D297353CC}">
              <c16:uniqueId val="{00000000-FE25-40FA-B5CF-0CD5D3828840}"/>
            </c:ext>
          </c:extLst>
        </c:ser>
        <c:ser>
          <c:idx val="1"/>
          <c:order val="1"/>
          <c:tx>
            <c:strRef>
              <c:f>'Product performance'!$C$3</c:f>
              <c:strCache>
                <c:ptCount val="1"/>
                <c:pt idx="0">
                  <c:v>Max of Rating</c:v>
                </c:pt>
              </c:strCache>
            </c:strRef>
          </c:tx>
          <c:spPr>
            <a:solidFill>
              <a:schemeClr val="accent2"/>
            </a:solidFill>
            <a:ln>
              <a:noFill/>
            </a:ln>
            <a:effectLst/>
          </c:spPr>
          <c:invertIfNegative val="0"/>
          <c:cat>
            <c:strRef>
              <c:f>'Product performance'!$A$4:$A$113</c:f>
              <c:strCache>
                <c:ptCount val="109"/>
                <c:pt idx="0">
                  <c:v>1/2/3 Seater Elastic Sofa Cover,Living Room/Home Decor Chair Cover 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UK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 mounted Sundries Organiser Fabric Closet Bag Storage Rack</c:v>
                </c:pt>
                <c:pt idx="13">
                  <c:v>2PCS Ice Silk Square Cushion Cover Pillowcases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PCS Stainless Steel Cooking Pot Set With Steamed Slices</c:v>
                </c:pt>
                <c:pt idx="26">
                  <c:v>5 Pieces/set Of Stainless Steel Induction Cooker Pots</c:v>
                </c:pt>
                <c:pt idx="27">
                  <c:v>52 Pieces Cake Decorating Tool Set Gift Kit Baking Supplies</c:v>
                </c:pt>
                <c:pt idx="28">
                  <c:v>53 Pieces/Set Yarn Knitting Crochet Hooks With Bag   Pansies</c:v>
                </c:pt>
                <c:pt idx="29">
                  <c:v>53Pcs/Set Yarn Knitting Crochet Hooks With Bag   Fortune Cat</c:v>
                </c:pt>
                <c:pt idx="30">
                  <c:v>5m Waterproof Spherical LED String Lights Outdoor Ball Chain Lights Party Lighting Decoration Adjustable</c:v>
                </c:pt>
                <c:pt idx="31">
                  <c:v>6 In 1 Bottle Can Opener Multifunctional Easy Opener</c:v>
                </c:pt>
                <c:pt idx="32">
                  <c:v>6 Layers Steel Pipe Assembling Dustproof Storage Shoe Cabinet</c:v>
                </c:pt>
                <c:pt idx="33">
                  <c:v>60W Hot Melt Glue Sprayer   Efficient And Stable Glue Dispensing</c:v>
                </c:pt>
                <c:pt idx="34">
                  <c:v>7 piece Set Of Storage Bags, Travel Storage Bags, Shoe Bags</c:v>
                </c:pt>
                <c:pt idx="35">
                  <c:v>7PCS Silicone Thumb Knife Finger Protector Vegetable Harvesting Knife</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 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 hour Heat Preservation,1.5L,800W, White</c:v>
                </c:pt>
                <c:pt idx="66">
                  <c:v>Large Lazy Inflatable Sofa Chairs PVC Lounger Seat Bag</c:v>
                </c:pt>
                <c:pt idx="67">
                  <c:v>LASA 3 Tier Bamboo Shoe Bench Storage Shelf</c:v>
                </c:pt>
                <c:pt idx="68">
                  <c:v>LASA Aluminum Folding Truck Hand Cart   68kg Max</c:v>
                </c:pt>
                <c:pt idx="69">
                  <c:v>LASA Digital Thermometer And Hydrometer</c:v>
                </c:pt>
                <c:pt idx="70">
                  <c:v>LASA FOLDING TABLE SERVING STAND</c:v>
                </c:pt>
                <c:pt idx="71">
                  <c:v>LASA Stainless Steel Double Wall Mount Soap Dispenser   500ml</c:v>
                </c:pt>
                <c:pt idx="72">
                  <c:v>LED Eye Protection  Desk Lamp , Study, Reading, USB Fan   Double Pen Holder</c:v>
                </c:pt>
                <c:pt idx="73">
                  <c:v>LED Romantic Spaceship Starry Sky Projector,Children's Bedroom Night Light Blue</c:v>
                </c:pt>
                <c:pt idx="74">
                  <c:v>LED Solar Street Light fake Camera</c:v>
                </c:pt>
                <c:pt idx="75">
                  <c:v>LED Wall Digital Alarm Clock Study Home 12 / 24H Clock Calendar</c:v>
                </c:pt>
                <c:pt idx="76">
                  <c:v>Memory Foam Neck Pillow Cover, With Pillow Core   50*30cm</c:v>
                </c:pt>
                <c:pt idx="77">
                  <c:v>Metal Decorative Hooks Key Hangers Entryway Wall Hooks Towel Hooks   Home</c:v>
                </c:pt>
                <c:pt idx="78">
                  <c:v>Metal Wall Clock Silver Dial Crystal Jewelry Round Home Decoration Wall Clock</c:v>
                </c:pt>
                <c:pt idx="79">
                  <c:v>Modern Sofa Throw Pillow Cover 45x45cm Blue&amp;Red</c:v>
                </c:pt>
                <c:pt idx="80">
                  <c:v>Multi purpose Rice Drainage Basket And Fruit And Vegetable Drainage Sieve</c:v>
                </c:pt>
                <c:pt idx="81">
                  <c:v>Multifunction Laser Level With Adjustment Tripod</c:v>
                </c:pt>
                <c:pt idx="82">
                  <c:v>Multifunctional Hanging Storage Box Storage Bag (4 Layers)</c:v>
                </c:pt>
                <c:pt idx="83">
                  <c:v>MultiFunctional Storage Rack Multi layer Booelf</c:v>
                </c:pt>
                <c:pt idx="84">
                  <c:v>Mythco 120COB Solar Wall Ligt With Motion Sensor And Remote Control 3 Modes</c:v>
                </c:pt>
                <c:pt idx="85">
                  <c:v>Office Chair Lumbar Back Support Spine Posture Correction Pillow Car Cushion</c:v>
                </c:pt>
                <c:pt idx="86">
                  <c:v>Outdoor Portable Water Bottle With Medicine Box   600ML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 Speed Fan   Green</c:v>
                </c:pt>
                <c:pt idx="91">
                  <c:v>Portable Mini Cordless Car Vacuum Cleaner   Blue</c:v>
                </c:pt>
                <c:pt idx="92">
                  <c:v>Portable Soap Dispenser Kitchen Detergent Press Box Kitchen Tools</c:v>
                </c:pt>
                <c:pt idx="93">
                  <c:v>Portable Wardrobe Nonwoven With 3 Hanging Rods And 6 Storage Shelves</c:v>
                </c:pt>
                <c:pt idx="94">
                  <c:v>Portable Wine Table With Folding Round Table</c:v>
                </c:pt>
                <c:pt idx="95">
                  <c:v>Punch free Great Load Bearing Bathroom Storage Rack Wall Shelf 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 mounted Sticker Punch free Plug Fixer</c:v>
                </c:pt>
                <c:pt idx="105">
                  <c:v>Wall Mounted Toothbrush Toothpaste Holder With Multiple Slots</c:v>
                </c:pt>
                <c:pt idx="106">
                  <c:v>Watercolour Gold Foil Textured Print Pillow Cover</c:v>
                </c:pt>
                <c:pt idx="107">
                  <c:v>Weighing Scale Digital Bathroom Body Fat Scale USB Black</c:v>
                </c:pt>
                <c:pt idx="108">
                  <c:v>Wrought Iron Bathroom Shelf Wall Mounted Free Punch Toilet Rack</c:v>
                </c:pt>
              </c:strCache>
            </c:strRef>
          </c:cat>
          <c:val>
            <c:numRef>
              <c:f>'Product performance'!$C$4:$C$113</c:f>
              <c:numCache>
                <c:formatCode>General</c:formatCode>
                <c:ptCount val="109"/>
                <c:pt idx="0">
                  <c:v>4.5</c:v>
                </c:pt>
                <c:pt idx="1">
                  <c:v>4.7</c:v>
                </c:pt>
                <c:pt idx="2">
                  <c:v>4.5</c:v>
                </c:pt>
                <c:pt idx="3">
                  <c:v>3.8</c:v>
                </c:pt>
                <c:pt idx="4">
                  <c:v>4.7</c:v>
                </c:pt>
                <c:pt idx="5">
                  <c:v>2.8</c:v>
                </c:pt>
                <c:pt idx="7">
                  <c:v>3.8</c:v>
                </c:pt>
                <c:pt idx="8">
                  <c:v>4.5999999999999996</c:v>
                </c:pt>
                <c:pt idx="11">
                  <c:v>4</c:v>
                </c:pt>
                <c:pt idx="16">
                  <c:v>3</c:v>
                </c:pt>
                <c:pt idx="17">
                  <c:v>2.2999999999999998</c:v>
                </c:pt>
                <c:pt idx="18">
                  <c:v>4.5999999999999996</c:v>
                </c:pt>
                <c:pt idx="20">
                  <c:v>3.3</c:v>
                </c:pt>
                <c:pt idx="22">
                  <c:v>4.8</c:v>
                </c:pt>
                <c:pt idx="25">
                  <c:v>2.1</c:v>
                </c:pt>
                <c:pt idx="26">
                  <c:v>2.5</c:v>
                </c:pt>
                <c:pt idx="27">
                  <c:v>4.0999999999999996</c:v>
                </c:pt>
                <c:pt idx="28">
                  <c:v>4.5</c:v>
                </c:pt>
                <c:pt idx="29">
                  <c:v>4.7</c:v>
                </c:pt>
                <c:pt idx="34">
                  <c:v>2.2000000000000002</c:v>
                </c:pt>
                <c:pt idx="38">
                  <c:v>2.6</c:v>
                </c:pt>
                <c:pt idx="40">
                  <c:v>5</c:v>
                </c:pt>
                <c:pt idx="41">
                  <c:v>2.2000000000000002</c:v>
                </c:pt>
                <c:pt idx="44">
                  <c:v>5</c:v>
                </c:pt>
                <c:pt idx="52">
                  <c:v>5</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2">
                  <c:v>4.3</c:v>
                </c:pt>
                <c:pt idx="73">
                  <c:v>4</c:v>
                </c:pt>
                <c:pt idx="75">
                  <c:v>4.5999999999999996</c:v>
                </c:pt>
                <c:pt idx="76">
                  <c:v>3</c:v>
                </c:pt>
                <c:pt idx="77">
                  <c:v>4.0999999999999996</c:v>
                </c:pt>
                <c:pt idx="81">
                  <c:v>4.2</c:v>
                </c:pt>
                <c:pt idx="84">
                  <c:v>3</c:v>
                </c:pt>
                <c:pt idx="87">
                  <c:v>5</c:v>
                </c:pt>
                <c:pt idx="90">
                  <c:v>4.8</c:v>
                </c:pt>
                <c:pt idx="91">
                  <c:v>4.5999999999999996</c:v>
                </c:pt>
                <c:pt idx="93">
                  <c:v>3.8</c:v>
                </c:pt>
                <c:pt idx="95">
                  <c:v>4.3</c:v>
                </c:pt>
                <c:pt idx="101">
                  <c:v>2.9</c:v>
                </c:pt>
                <c:pt idx="104">
                  <c:v>2</c:v>
                </c:pt>
                <c:pt idx="106">
                  <c:v>2.2999999999999998</c:v>
                </c:pt>
                <c:pt idx="107">
                  <c:v>4.7</c:v>
                </c:pt>
                <c:pt idx="108">
                  <c:v>3</c:v>
                </c:pt>
              </c:numCache>
            </c:numRef>
          </c:val>
          <c:extLst>
            <c:ext xmlns:c16="http://schemas.microsoft.com/office/drawing/2014/chart" uri="{C3380CC4-5D6E-409C-BE32-E72D297353CC}">
              <c16:uniqueId val="{00000001-FE25-40FA-B5CF-0CD5D3828840}"/>
            </c:ext>
          </c:extLst>
        </c:ser>
        <c:dLbls>
          <c:showLegendKey val="0"/>
          <c:showVal val="0"/>
          <c:showCatName val="0"/>
          <c:showSerName val="0"/>
          <c:showPercent val="0"/>
          <c:showBubbleSize val="0"/>
        </c:dLbls>
        <c:gapWidth val="219"/>
        <c:axId val="1676017727"/>
        <c:axId val="1676019391"/>
      </c:barChart>
      <c:lineChart>
        <c:grouping val="standard"/>
        <c:varyColors val="0"/>
        <c:ser>
          <c:idx val="2"/>
          <c:order val="2"/>
          <c:tx>
            <c:strRef>
              <c:f>'Product performance'!$D$3</c:f>
              <c:strCache>
                <c:ptCount val="1"/>
                <c:pt idx="0">
                  <c:v>Max of Discount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'Product performance'!$A$4:$A$113</c:f>
              <c:strCache>
                <c:ptCount val="109"/>
                <c:pt idx="0">
                  <c:v>1/2/3 Seater Elastic Sofa Cover,Living Room/Home Decor Chair Cover 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UK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 mounted Sundries Organiser Fabric Closet Bag Storage Rack</c:v>
                </c:pt>
                <c:pt idx="13">
                  <c:v>2PCS Ice Silk Square Cushion Cover Pillowcases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PCS Stainless Steel Cooking Pot Set With Steamed Slices</c:v>
                </c:pt>
                <c:pt idx="26">
                  <c:v>5 Pieces/set Of Stainless Steel Induction Cooker Pots</c:v>
                </c:pt>
                <c:pt idx="27">
                  <c:v>52 Pieces Cake Decorating Tool Set Gift Kit Baking Supplies</c:v>
                </c:pt>
                <c:pt idx="28">
                  <c:v>53 Pieces/Set Yarn Knitting Crochet Hooks With Bag   Pansies</c:v>
                </c:pt>
                <c:pt idx="29">
                  <c:v>53Pcs/Set Yarn Knitting Crochet Hooks With Bag   Fortune Cat</c:v>
                </c:pt>
                <c:pt idx="30">
                  <c:v>5m Waterproof Spherical LED String Lights Outdoor Ball Chain Lights Party Lighting Decoration Adjustable</c:v>
                </c:pt>
                <c:pt idx="31">
                  <c:v>6 In 1 Bottle Can Opener Multifunctional Easy Opener</c:v>
                </c:pt>
                <c:pt idx="32">
                  <c:v>6 Layers Steel Pipe Assembling Dustproof Storage Shoe Cabinet</c:v>
                </c:pt>
                <c:pt idx="33">
                  <c:v>60W Hot Melt Glue Sprayer   Efficient And Stable Glue Dispensing</c:v>
                </c:pt>
                <c:pt idx="34">
                  <c:v>7 piece Set Of Storage Bags, Travel Storage Bags, Shoe Bags</c:v>
                </c:pt>
                <c:pt idx="35">
                  <c:v>7PCS Silicone Thumb Knife Finger Protector Vegetable Harvesting Knife</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 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 hour Heat Preservation,1.5L,800W, White</c:v>
                </c:pt>
                <c:pt idx="66">
                  <c:v>Large Lazy Inflatable Sofa Chairs PVC Lounger Seat Bag</c:v>
                </c:pt>
                <c:pt idx="67">
                  <c:v>LASA 3 Tier Bamboo Shoe Bench Storage Shelf</c:v>
                </c:pt>
                <c:pt idx="68">
                  <c:v>LASA Aluminum Folding Truck Hand Cart   68kg Max</c:v>
                </c:pt>
                <c:pt idx="69">
                  <c:v>LASA Digital Thermometer And Hydrometer</c:v>
                </c:pt>
                <c:pt idx="70">
                  <c:v>LASA FOLDING TABLE SERVING STAND</c:v>
                </c:pt>
                <c:pt idx="71">
                  <c:v>LASA Stainless Steel Double Wall Mount Soap Dispenser   500ml</c:v>
                </c:pt>
                <c:pt idx="72">
                  <c:v>LED Eye Protection  Desk Lamp , Study, Reading, USB Fan   Double Pen Holder</c:v>
                </c:pt>
                <c:pt idx="73">
                  <c:v>LED Romantic Spaceship Starry Sky Projector,Children's Bedroom Night Light Blue</c:v>
                </c:pt>
                <c:pt idx="74">
                  <c:v>LED Solar Street Light fake Camera</c:v>
                </c:pt>
                <c:pt idx="75">
                  <c:v>LED Wall Digital Alarm Clock Study Home 12 / 24H Clock Calendar</c:v>
                </c:pt>
                <c:pt idx="76">
                  <c:v>Memory Foam Neck Pillow Cover, With Pillow Core   50*30cm</c:v>
                </c:pt>
                <c:pt idx="77">
                  <c:v>Metal Decorative Hooks Key Hangers Entryway Wall Hooks Towel Hooks   Home</c:v>
                </c:pt>
                <c:pt idx="78">
                  <c:v>Metal Wall Clock Silver Dial Crystal Jewelry Round Home Decoration Wall Clock</c:v>
                </c:pt>
                <c:pt idx="79">
                  <c:v>Modern Sofa Throw Pillow Cover 45x45cm Blue&amp;Red</c:v>
                </c:pt>
                <c:pt idx="80">
                  <c:v>Multi purpose Rice Drainage Basket And Fruit And Vegetable Drainage Sieve</c:v>
                </c:pt>
                <c:pt idx="81">
                  <c:v>Multifunction Laser Level With Adjustment Tripod</c:v>
                </c:pt>
                <c:pt idx="82">
                  <c:v>Multifunctional Hanging Storage Box Storage Bag (4 Layers)</c:v>
                </c:pt>
                <c:pt idx="83">
                  <c:v>MultiFunctional Storage Rack Multi layer Booelf</c:v>
                </c:pt>
                <c:pt idx="84">
                  <c:v>Mythco 120COB Solar Wall Ligt With Motion Sensor And Remote Control 3 Modes</c:v>
                </c:pt>
                <c:pt idx="85">
                  <c:v>Office Chair Lumbar Back Support Spine Posture Correction Pillow Car Cushion</c:v>
                </c:pt>
                <c:pt idx="86">
                  <c:v>Outdoor Portable Water Bottle With Medicine Box   600ML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 Speed Fan   Green</c:v>
                </c:pt>
                <c:pt idx="91">
                  <c:v>Portable Mini Cordless Car Vacuum Cleaner   Blue</c:v>
                </c:pt>
                <c:pt idx="92">
                  <c:v>Portable Soap Dispenser Kitchen Detergent Press Box Kitchen Tools</c:v>
                </c:pt>
                <c:pt idx="93">
                  <c:v>Portable Wardrobe Nonwoven With 3 Hanging Rods And 6 Storage Shelves</c:v>
                </c:pt>
                <c:pt idx="94">
                  <c:v>Portable Wine Table With Folding Round Table</c:v>
                </c:pt>
                <c:pt idx="95">
                  <c:v>Punch free Great Load Bearing Bathroom Storage Rack Wall Shelf 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 mounted Sticker Punch free Plug Fixer</c:v>
                </c:pt>
                <c:pt idx="105">
                  <c:v>Wall Mounted Toothbrush Toothpaste Holder With Multiple Slots</c:v>
                </c:pt>
                <c:pt idx="106">
                  <c:v>Watercolour Gold Foil Textured Print Pillow Cover</c:v>
                </c:pt>
                <c:pt idx="107">
                  <c:v>Weighing Scale Digital Bathroom Body Fat Scale USB Black</c:v>
                </c:pt>
                <c:pt idx="108">
                  <c:v>Wrought Iron Bathroom Shelf Wall Mounted Free Punch Toilet Rack</c:v>
                </c:pt>
              </c:strCache>
            </c:strRef>
          </c:cat>
          <c:val>
            <c:numRef>
              <c:f>'Product performance'!$D$4:$D$113</c:f>
              <c:numCache>
                <c:formatCode>General</c:formatCode>
                <c:ptCount val="109"/>
                <c:pt idx="0">
                  <c:v>0.38</c:v>
                </c:pt>
                <c:pt idx="1">
                  <c:v>0.34</c:v>
                </c:pt>
                <c:pt idx="2">
                  <c:v>0.38</c:v>
                </c:pt>
                <c:pt idx="3">
                  <c:v>0.32</c:v>
                </c:pt>
                <c:pt idx="4">
                  <c:v>0.34</c:v>
                </c:pt>
                <c:pt idx="5">
                  <c:v>0.49</c:v>
                </c:pt>
                <c:pt idx="6">
                  <c:v>0.27</c:v>
                </c:pt>
                <c:pt idx="7">
                  <c:v>0.45</c:v>
                </c:pt>
                <c:pt idx="8">
                  <c:v>0.24</c:v>
                </c:pt>
                <c:pt idx="9">
                  <c:v>0.24</c:v>
                </c:pt>
                <c:pt idx="10">
                  <c:v>0.02</c:v>
                </c:pt>
                <c:pt idx="11">
                  <c:v>0.09</c:v>
                </c:pt>
                <c:pt idx="12">
                  <c:v>0.01</c:v>
                </c:pt>
                <c:pt idx="13">
                  <c:v>0.5</c:v>
                </c:pt>
                <c:pt idx="14">
                  <c:v>0.38</c:v>
                </c:pt>
                <c:pt idx="15">
                  <c:v>0.47</c:v>
                </c:pt>
                <c:pt idx="16">
                  <c:v>0.39</c:v>
                </c:pt>
                <c:pt idx="17">
                  <c:v>0.5</c:v>
                </c:pt>
                <c:pt idx="18">
                  <c:v>0.49</c:v>
                </c:pt>
                <c:pt idx="19">
                  <c:v>0.43</c:v>
                </c:pt>
                <c:pt idx="20">
                  <c:v>0.53</c:v>
                </c:pt>
                <c:pt idx="21">
                  <c:v>0.49</c:v>
                </c:pt>
                <c:pt idx="22">
                  <c:v>0.47</c:v>
                </c:pt>
                <c:pt idx="23">
                  <c:v>0.49</c:v>
                </c:pt>
                <c:pt idx="24">
                  <c:v>0.42</c:v>
                </c:pt>
                <c:pt idx="25">
                  <c:v>0.55000000000000004</c:v>
                </c:pt>
                <c:pt idx="26">
                  <c:v>0.13</c:v>
                </c:pt>
                <c:pt idx="27">
                  <c:v>0.3</c:v>
                </c:pt>
                <c:pt idx="28">
                  <c:v>0.27</c:v>
                </c:pt>
                <c:pt idx="29">
                  <c:v>0.27</c:v>
                </c:pt>
                <c:pt idx="30">
                  <c:v>0.36</c:v>
                </c:pt>
                <c:pt idx="31">
                  <c:v>0.64</c:v>
                </c:pt>
                <c:pt idx="32">
                  <c:v>0.47</c:v>
                </c:pt>
                <c:pt idx="33">
                  <c:v>0.33</c:v>
                </c:pt>
                <c:pt idx="34">
                  <c:v>0.47</c:v>
                </c:pt>
                <c:pt idx="35">
                  <c:v>0.49</c:v>
                </c:pt>
                <c:pt idx="36">
                  <c:v>0.42</c:v>
                </c:pt>
                <c:pt idx="37">
                  <c:v>0.41</c:v>
                </c:pt>
                <c:pt idx="38">
                  <c:v>0.45</c:v>
                </c:pt>
                <c:pt idx="39">
                  <c:v>0.49</c:v>
                </c:pt>
                <c:pt idx="40">
                  <c:v>0.51</c:v>
                </c:pt>
                <c:pt idx="41">
                  <c:v>0.45</c:v>
                </c:pt>
                <c:pt idx="42">
                  <c:v>0.49</c:v>
                </c:pt>
                <c:pt idx="43">
                  <c:v>0.42</c:v>
                </c:pt>
                <c:pt idx="44">
                  <c:v>0.49</c:v>
                </c:pt>
                <c:pt idx="45">
                  <c:v>0.47</c:v>
                </c:pt>
                <c:pt idx="46">
                  <c:v>0.5</c:v>
                </c:pt>
                <c:pt idx="47">
                  <c:v>0.49</c:v>
                </c:pt>
                <c:pt idx="48">
                  <c:v>0.49</c:v>
                </c:pt>
                <c:pt idx="49">
                  <c:v>0.34</c:v>
                </c:pt>
                <c:pt idx="50">
                  <c:v>0.5</c:v>
                </c:pt>
                <c:pt idx="51">
                  <c:v>0.48</c:v>
                </c:pt>
                <c:pt idx="52">
                  <c:v>0.53</c:v>
                </c:pt>
                <c:pt idx="53">
                  <c:v>0.61</c:v>
                </c:pt>
                <c:pt idx="54">
                  <c:v>0.04</c:v>
                </c:pt>
                <c:pt idx="55">
                  <c:v>0.41</c:v>
                </c:pt>
                <c:pt idx="56">
                  <c:v>0.37</c:v>
                </c:pt>
                <c:pt idx="57">
                  <c:v>0.4</c:v>
                </c:pt>
                <c:pt idx="58">
                  <c:v>0.47</c:v>
                </c:pt>
                <c:pt idx="59">
                  <c:v>0.35</c:v>
                </c:pt>
                <c:pt idx="60">
                  <c:v>0.52</c:v>
                </c:pt>
                <c:pt idx="61">
                  <c:v>0.23</c:v>
                </c:pt>
                <c:pt idx="62">
                  <c:v>0.2</c:v>
                </c:pt>
                <c:pt idx="63">
                  <c:v>0.49</c:v>
                </c:pt>
                <c:pt idx="64">
                  <c:v>0.52</c:v>
                </c:pt>
                <c:pt idx="65">
                  <c:v>0.21</c:v>
                </c:pt>
                <c:pt idx="66">
                  <c:v>0.28999999999999998</c:v>
                </c:pt>
                <c:pt idx="67">
                  <c:v>0.54</c:v>
                </c:pt>
                <c:pt idx="68">
                  <c:v>0.49</c:v>
                </c:pt>
                <c:pt idx="69">
                  <c:v>0.42</c:v>
                </c:pt>
                <c:pt idx="70">
                  <c:v>0.55000000000000004</c:v>
                </c:pt>
                <c:pt idx="71">
                  <c:v>0.38</c:v>
                </c:pt>
                <c:pt idx="72">
                  <c:v>0.48</c:v>
                </c:pt>
                <c:pt idx="73">
                  <c:v>0.35</c:v>
                </c:pt>
                <c:pt idx="74">
                  <c:v>0.34</c:v>
                </c:pt>
                <c:pt idx="75">
                  <c:v>0.19</c:v>
                </c:pt>
                <c:pt idx="76">
                  <c:v>0.46</c:v>
                </c:pt>
                <c:pt idx="77">
                  <c:v>0.47</c:v>
                </c:pt>
                <c:pt idx="78">
                  <c:v>0.04</c:v>
                </c:pt>
                <c:pt idx="79">
                  <c:v>0.5</c:v>
                </c:pt>
                <c:pt idx="80">
                  <c:v>0.03</c:v>
                </c:pt>
                <c:pt idx="81">
                  <c:v>0.33</c:v>
                </c:pt>
                <c:pt idx="82">
                  <c:v>0.43</c:v>
                </c:pt>
                <c:pt idx="83">
                  <c:v>0.46</c:v>
                </c:pt>
                <c:pt idx="84">
                  <c:v>0.54</c:v>
                </c:pt>
                <c:pt idx="85">
                  <c:v>0.14000000000000001</c:v>
                </c:pt>
                <c:pt idx="86">
                  <c:v>0.11</c:v>
                </c:pt>
                <c:pt idx="87">
                  <c:v>0.46</c:v>
                </c:pt>
                <c:pt idx="88">
                  <c:v>0.02</c:v>
                </c:pt>
                <c:pt idx="89">
                  <c:v>0.22</c:v>
                </c:pt>
                <c:pt idx="90">
                  <c:v>0.26</c:v>
                </c:pt>
                <c:pt idx="91">
                  <c:v>0.25</c:v>
                </c:pt>
                <c:pt idx="92">
                  <c:v>0.02</c:v>
                </c:pt>
                <c:pt idx="93">
                  <c:v>0.18</c:v>
                </c:pt>
                <c:pt idx="94">
                  <c:v>0.48</c:v>
                </c:pt>
                <c:pt idx="95">
                  <c:v>0.41</c:v>
                </c:pt>
                <c:pt idx="96">
                  <c:v>0.48</c:v>
                </c:pt>
                <c:pt idx="97">
                  <c:v>0.02</c:v>
                </c:pt>
                <c:pt idx="98">
                  <c:v>0.02</c:v>
                </c:pt>
                <c:pt idx="99">
                  <c:v>0.55000000000000004</c:v>
                </c:pt>
                <c:pt idx="100">
                  <c:v>0.02</c:v>
                </c:pt>
                <c:pt idx="101">
                  <c:v>0.22</c:v>
                </c:pt>
                <c:pt idx="102">
                  <c:v>0.5</c:v>
                </c:pt>
                <c:pt idx="103">
                  <c:v>0.08</c:v>
                </c:pt>
                <c:pt idx="104">
                  <c:v>0.5</c:v>
                </c:pt>
                <c:pt idx="105">
                  <c:v>0.14000000000000001</c:v>
                </c:pt>
                <c:pt idx="106">
                  <c:v>0.43</c:v>
                </c:pt>
                <c:pt idx="107">
                  <c:v>0.37</c:v>
                </c:pt>
                <c:pt idx="108">
                  <c:v>0.43</c:v>
                </c:pt>
              </c:numCache>
            </c:numRef>
          </c:val>
          <c:smooth val="0"/>
          <c:extLst>
            <c:ext xmlns:c16="http://schemas.microsoft.com/office/drawing/2014/chart" uri="{C3380CC4-5D6E-409C-BE32-E72D297353CC}">
              <c16:uniqueId val="{00000002-FE25-40FA-B5CF-0CD5D3828840}"/>
            </c:ext>
          </c:extLst>
        </c:ser>
        <c:dLbls>
          <c:showLegendKey val="0"/>
          <c:showVal val="0"/>
          <c:showCatName val="0"/>
          <c:showSerName val="0"/>
          <c:showPercent val="0"/>
          <c:showBubbleSize val="0"/>
        </c:dLbls>
        <c:marker val="1"/>
        <c:smooth val="0"/>
        <c:axId val="156603840"/>
        <c:axId val="156626304"/>
      </c:lineChart>
      <c:catAx>
        <c:axId val="167601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19391"/>
        <c:crosses val="autoZero"/>
        <c:auto val="1"/>
        <c:lblAlgn val="ctr"/>
        <c:lblOffset val="100"/>
        <c:noMultiLvlLbl val="0"/>
      </c:catAx>
      <c:valAx>
        <c:axId val="167601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17727"/>
        <c:crosses val="autoZero"/>
        <c:crossBetween val="between"/>
      </c:valAx>
      <c:valAx>
        <c:axId val="156626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3840"/>
        <c:crosses val="max"/>
        <c:crossBetween val="between"/>
      </c:valAx>
      <c:catAx>
        <c:axId val="156603840"/>
        <c:scaling>
          <c:orientation val="minMax"/>
        </c:scaling>
        <c:delete val="1"/>
        <c:axPos val="b"/>
        <c:numFmt formatCode="General" sourceLinked="1"/>
        <c:majorTickMark val="out"/>
        <c:minorTickMark val="none"/>
        <c:tickLblPos val="nextTo"/>
        <c:crossAx val="156626304"/>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519112</xdr:colOff>
      <xdr:row>9</xdr:row>
      <xdr:rowOff>133350</xdr:rowOff>
    </xdr:from>
    <xdr:to>
      <xdr:col>12</xdr:col>
      <xdr:colOff>576262</xdr:colOff>
      <xdr:row>25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13</xdr:row>
      <xdr:rowOff>161925</xdr:rowOff>
    </xdr:from>
    <xdr:to>
      <xdr:col>2</xdr:col>
      <xdr:colOff>471488</xdr:colOff>
      <xdr:row>34</xdr:row>
      <xdr:rowOff>176212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523875</xdr:colOff>
      <xdr:row>13</xdr:row>
      <xdr:rowOff>171450</xdr:rowOff>
    </xdr:from>
    <xdr:to>
      <xdr:col>5</xdr:col>
      <xdr:colOff>28575</xdr:colOff>
      <xdr:row>27</xdr:row>
      <xdr:rowOff>28575</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858125" y="2647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14</xdr:row>
      <xdr:rowOff>114300</xdr:rowOff>
    </xdr:from>
    <xdr:to>
      <xdr:col>20</xdr:col>
      <xdr:colOff>161925</xdr:colOff>
      <xdr:row>27</xdr:row>
      <xdr:rowOff>161925</xdr:rowOff>
    </xdr:to>
    <mc:AlternateContent xmlns:mc="http://schemas.openxmlformats.org/markup-compatibility/2006" xmlns:a14="http://schemas.microsoft.com/office/drawing/2010/main">
      <mc:Choice Requires="a14">
        <xdr:graphicFrame macro="">
          <xdr:nvGraphicFramePr>
            <xdr:cNvPr id="4"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1725275" y="2781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14</xdr:row>
      <xdr:rowOff>152400</xdr:rowOff>
    </xdr:from>
    <xdr:to>
      <xdr:col>13</xdr:col>
      <xdr:colOff>0</xdr:colOff>
      <xdr:row>28</xdr:row>
      <xdr:rowOff>9525</xdr:rowOff>
    </xdr:to>
    <mc:AlternateContent xmlns:mc="http://schemas.openxmlformats.org/markup-compatibility/2006" xmlns:a14="http://schemas.microsoft.com/office/drawing/2010/main">
      <mc:Choice Requires="a14">
        <xdr:graphicFrame macro="">
          <xdr:nvGraphicFramePr>
            <xdr:cNvPr id="5" name="Category by Discount"/>
            <xdr:cNvGraphicFramePr/>
          </xdr:nvGraphicFramePr>
          <xdr:xfrm>
            <a:off x="0" y="0"/>
            <a:ext cx="0" cy="0"/>
          </xdr:xfrm>
          <a:graphic>
            <a:graphicData uri="http://schemas.microsoft.com/office/drawing/2010/slicer">
              <sle:slicer xmlns:sle="http://schemas.microsoft.com/office/drawing/2010/slicer" name="Category by Discount"/>
            </a:graphicData>
          </a:graphic>
        </xdr:graphicFrame>
      </mc:Choice>
      <mc:Fallback xmlns="">
        <xdr:sp macro="" textlink="">
          <xdr:nvSpPr>
            <xdr:cNvPr id="0" name=""/>
            <xdr:cNvSpPr>
              <a:spLocks noTextEdit="1"/>
            </xdr:cNvSpPr>
          </xdr:nvSpPr>
          <xdr:spPr>
            <a:xfrm>
              <a:off x="9829800" y="281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14287</xdr:rowOff>
    </xdr:from>
    <xdr:to>
      <xdr:col>4</xdr:col>
      <xdr:colOff>447675</xdr:colOff>
      <xdr:row>24</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126</xdr:row>
      <xdr:rowOff>171450</xdr:rowOff>
    </xdr:from>
    <xdr:to>
      <xdr:col>2</xdr:col>
      <xdr:colOff>628650</xdr:colOff>
      <xdr:row>141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126</xdr:row>
      <xdr:rowOff>180975</xdr:rowOff>
    </xdr:from>
    <xdr:to>
      <xdr:col>6</xdr:col>
      <xdr:colOff>1200150</xdr:colOff>
      <xdr:row>141</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581026</xdr:colOff>
      <xdr:row>2</xdr:row>
      <xdr:rowOff>85725</xdr:rowOff>
    </xdr:from>
    <xdr:to>
      <xdr:col>6</xdr:col>
      <xdr:colOff>476250</xdr:colOff>
      <xdr:row>5</xdr:row>
      <xdr:rowOff>95250</xdr:rowOff>
    </xdr:to>
    <xdr:sp macro="" textlink="">
      <xdr:nvSpPr>
        <xdr:cNvPr id="2" name="Rounded Rectangle 1"/>
        <xdr:cNvSpPr/>
      </xdr:nvSpPr>
      <xdr:spPr>
        <a:xfrm>
          <a:off x="2409826" y="466725"/>
          <a:ext cx="1724024" cy="581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Number of products</a:t>
          </a:r>
        </a:p>
        <a:p>
          <a:pPr algn="l"/>
          <a:r>
            <a:rPr lang="en-US" sz="1100"/>
            <a:t>               112</a:t>
          </a:r>
        </a:p>
      </xdr:txBody>
    </xdr:sp>
    <xdr:clientData/>
  </xdr:twoCellAnchor>
  <xdr:twoCellAnchor>
    <xdr:from>
      <xdr:col>7</xdr:col>
      <xdr:colOff>180975</xdr:colOff>
      <xdr:row>2</xdr:row>
      <xdr:rowOff>85725</xdr:rowOff>
    </xdr:from>
    <xdr:to>
      <xdr:col>9</xdr:col>
      <xdr:colOff>66675</xdr:colOff>
      <xdr:row>5</xdr:row>
      <xdr:rowOff>76200</xdr:rowOff>
    </xdr:to>
    <xdr:sp macro="" textlink="">
      <xdr:nvSpPr>
        <xdr:cNvPr id="3" name="Rounded Rectangle 2"/>
        <xdr:cNvSpPr/>
      </xdr:nvSpPr>
      <xdr:spPr>
        <a:xfrm>
          <a:off x="4448175" y="466725"/>
          <a:ext cx="1104900" cy="561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rating </a:t>
          </a:r>
        </a:p>
        <a:p>
          <a:pPr algn="l"/>
          <a:r>
            <a:rPr lang="en-US" sz="1100"/>
            <a:t>       3.9</a:t>
          </a:r>
        </a:p>
      </xdr:txBody>
    </xdr:sp>
    <xdr:clientData/>
  </xdr:twoCellAnchor>
  <xdr:twoCellAnchor>
    <xdr:from>
      <xdr:col>9</xdr:col>
      <xdr:colOff>533400</xdr:colOff>
      <xdr:row>2</xdr:row>
      <xdr:rowOff>95250</xdr:rowOff>
    </xdr:from>
    <xdr:to>
      <xdr:col>12</xdr:col>
      <xdr:colOff>104775</xdr:colOff>
      <xdr:row>5</xdr:row>
      <xdr:rowOff>95250</xdr:rowOff>
    </xdr:to>
    <xdr:sp macro="" textlink="">
      <xdr:nvSpPr>
        <xdr:cNvPr id="4" name="Rounded Rectangle 3"/>
        <xdr:cNvSpPr/>
      </xdr:nvSpPr>
      <xdr:spPr>
        <a:xfrm>
          <a:off x="6019800" y="476250"/>
          <a:ext cx="1400175"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Average Discount</a:t>
          </a:r>
        </a:p>
        <a:p>
          <a:pPr algn="l"/>
          <a:r>
            <a:rPr lang="en-US" sz="1100"/>
            <a:t>            37%</a:t>
          </a:r>
        </a:p>
      </xdr:txBody>
    </xdr:sp>
    <xdr:clientData/>
  </xdr:twoCellAnchor>
  <xdr:twoCellAnchor>
    <xdr:from>
      <xdr:col>5</xdr:col>
      <xdr:colOff>123826</xdr:colOff>
      <xdr:row>0</xdr:row>
      <xdr:rowOff>66675</xdr:rowOff>
    </xdr:from>
    <xdr:to>
      <xdr:col>11</xdr:col>
      <xdr:colOff>400050</xdr:colOff>
      <xdr:row>2</xdr:row>
      <xdr:rowOff>19050</xdr:rowOff>
    </xdr:to>
    <xdr:sp macro="" textlink="">
      <xdr:nvSpPr>
        <xdr:cNvPr id="5" name="Rounded Rectangle 4"/>
        <xdr:cNvSpPr/>
      </xdr:nvSpPr>
      <xdr:spPr>
        <a:xfrm>
          <a:off x="3171826" y="66675"/>
          <a:ext cx="3933824" cy="3333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Jumia dataset review</a:t>
          </a:r>
        </a:p>
      </xdr:txBody>
    </xdr:sp>
    <xdr:clientData/>
  </xdr:twoCellAnchor>
  <xdr:twoCellAnchor>
    <xdr:from>
      <xdr:col>12</xdr:col>
      <xdr:colOff>581024</xdr:colOff>
      <xdr:row>2</xdr:row>
      <xdr:rowOff>85724</xdr:rowOff>
    </xdr:from>
    <xdr:to>
      <xdr:col>15</xdr:col>
      <xdr:colOff>200025</xdr:colOff>
      <xdr:row>5</xdr:row>
      <xdr:rowOff>57149</xdr:rowOff>
    </xdr:to>
    <xdr:sp macro="" textlink="">
      <xdr:nvSpPr>
        <xdr:cNvPr id="6" name="Rounded Rectangle 5"/>
        <xdr:cNvSpPr/>
      </xdr:nvSpPr>
      <xdr:spPr>
        <a:xfrm>
          <a:off x="7896224" y="466724"/>
          <a:ext cx="1447801" cy="5429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100" baseline="0"/>
            <a:t>    </a:t>
          </a:r>
          <a:r>
            <a:rPr lang="en-US" sz="1100"/>
            <a:t>Total reviews </a:t>
          </a:r>
          <a:r>
            <a:rPr lang="en-US" sz="1100" baseline="0"/>
            <a:t> </a:t>
          </a:r>
        </a:p>
        <a:p>
          <a:pPr algn="l"/>
          <a:r>
            <a:rPr lang="en-US" sz="1100" baseline="0"/>
            <a:t>              723</a:t>
          </a:r>
        </a:p>
        <a:p>
          <a:pPr algn="l"/>
          <a:endParaRPr lang="en-US" sz="1100"/>
        </a:p>
        <a:p>
          <a:pPr algn="l"/>
          <a:endParaRPr lang="en-US" sz="1100"/>
        </a:p>
      </xdr:txBody>
    </xdr:sp>
    <xdr:clientData/>
  </xdr:twoCellAnchor>
  <xdr:twoCellAnchor>
    <xdr:from>
      <xdr:col>3</xdr:col>
      <xdr:colOff>514350</xdr:colOff>
      <xdr:row>6</xdr:row>
      <xdr:rowOff>19049</xdr:rowOff>
    </xdr:from>
    <xdr:to>
      <xdr:col>10</xdr:col>
      <xdr:colOff>409575</xdr:colOff>
      <xdr:row>19</xdr:row>
      <xdr:rowOff>142874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314325</xdr:colOff>
      <xdr:row>6</xdr:row>
      <xdr:rowOff>57150</xdr:rowOff>
    </xdr:from>
    <xdr:to>
      <xdr:col>17</xdr:col>
      <xdr:colOff>285750</xdr:colOff>
      <xdr:row>18</xdr:row>
      <xdr:rowOff>19050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247650</xdr:colOff>
      <xdr:row>21</xdr:row>
      <xdr:rowOff>9524</xdr:rowOff>
    </xdr:from>
    <xdr:to>
      <xdr:col>17</xdr:col>
      <xdr:colOff>361950</xdr:colOff>
      <xdr:row>33</xdr:row>
      <xdr:rowOff>133350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2</xdr:row>
      <xdr:rowOff>133350</xdr:rowOff>
    </xdr:from>
    <xdr:to>
      <xdr:col>3</xdr:col>
      <xdr:colOff>47625</xdr:colOff>
      <xdr:row>15</xdr:row>
      <xdr:rowOff>180975</xdr:rowOff>
    </xdr:to>
    <mc:AlternateContent xmlns:mc="http://schemas.openxmlformats.org/markup-compatibility/2006" xmlns:a14="http://schemas.microsoft.com/office/drawing/2010/main">
      <mc:Choice Requires="a14">
        <xdr:graphicFrame macro="">
          <xdr:nvGraphicFramePr>
            <xdr:cNvPr id="10"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7625"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142875</xdr:rowOff>
    </xdr:from>
    <xdr:to>
      <xdr:col>3</xdr:col>
      <xdr:colOff>0</xdr:colOff>
      <xdr:row>32</xdr:row>
      <xdr:rowOff>38100</xdr:rowOff>
    </xdr:to>
    <mc:AlternateContent xmlns:mc="http://schemas.openxmlformats.org/markup-compatibility/2006" xmlns:a14="http://schemas.microsoft.com/office/drawing/2010/main">
      <mc:Choice Requires="a14">
        <xdr:graphicFrame macro="">
          <xdr:nvGraphicFramePr>
            <xdr:cNvPr id="11" name="Rating 1"/>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0" y="3952875"/>
              <a:ext cx="1828800" cy="218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171451</xdr:rowOff>
    </xdr:from>
    <xdr:to>
      <xdr:col>3</xdr:col>
      <xdr:colOff>9525</xdr:colOff>
      <xdr:row>20</xdr:row>
      <xdr:rowOff>133351</xdr:rowOff>
    </xdr:to>
    <mc:AlternateContent xmlns:mc="http://schemas.openxmlformats.org/markup-compatibility/2006" xmlns:a14="http://schemas.microsoft.com/office/drawing/2010/main">
      <mc:Choice Requires="a14">
        <xdr:graphicFrame macro="">
          <xdr:nvGraphicFramePr>
            <xdr:cNvPr id="12" name="Category by Discount 1"/>
            <xdr:cNvGraphicFramePr/>
          </xdr:nvGraphicFramePr>
          <xdr:xfrm>
            <a:off x="0" y="0"/>
            <a:ext cx="0" cy="0"/>
          </xdr:xfrm>
          <a:graphic>
            <a:graphicData uri="http://schemas.microsoft.com/office/drawing/2010/slicer">
              <sle:slicer xmlns:sle="http://schemas.microsoft.com/office/drawing/2010/slicer" name="Category by Discount 1"/>
            </a:graphicData>
          </a:graphic>
        </xdr:graphicFrame>
      </mc:Choice>
      <mc:Fallback xmlns="">
        <xdr:sp macro="" textlink="">
          <xdr:nvSpPr>
            <xdr:cNvPr id="0" name=""/>
            <xdr:cNvSpPr>
              <a:spLocks noTextEdit="1"/>
            </xdr:cNvSpPr>
          </xdr:nvSpPr>
          <xdr:spPr>
            <a:xfrm>
              <a:off x="9525" y="283845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495301</xdr:colOff>
      <xdr:row>20</xdr:row>
      <xdr:rowOff>104776</xdr:rowOff>
    </xdr:from>
    <xdr:to>
      <xdr:col>10</xdr:col>
      <xdr:colOff>409575</xdr:colOff>
      <xdr:row>33</xdr:row>
      <xdr:rowOff>180975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609599</xdr:colOff>
      <xdr:row>37</xdr:row>
      <xdr:rowOff>0</xdr:rowOff>
    </xdr:from>
    <xdr:to>
      <xdr:col>17</xdr:col>
      <xdr:colOff>314324</xdr:colOff>
      <xdr:row>48</xdr:row>
      <xdr:rowOff>85725</xdr:rowOff>
    </xdr:to>
    <xdr:sp macro="" textlink="">
      <xdr:nvSpPr>
        <xdr:cNvPr id="14" name="Rounded Rectangle 13"/>
        <xdr:cNvSpPr/>
      </xdr:nvSpPr>
      <xdr:spPr>
        <a:xfrm>
          <a:off x="2438399" y="7048500"/>
          <a:ext cx="8239125" cy="21812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Insights</a:t>
          </a:r>
        </a:p>
        <a:p>
          <a:pPr algn="l"/>
          <a:endParaRPr lang="en-US" sz="1100"/>
        </a:p>
        <a:p>
          <a:pPr algn="l"/>
          <a:r>
            <a:rPr lang="en-US" sz="1100"/>
            <a:t>1. Trend analysis shows that higher discounts do not necessarily lead to higher sales. The</a:t>
          </a:r>
          <a:r>
            <a:rPr lang="en-US" sz="1100" baseline="0"/>
            <a:t> trend goes down as discounts rise</a:t>
          </a:r>
        </a:p>
        <a:p>
          <a:pPr algn="l"/>
          <a:endParaRPr lang="en-US" sz="1100" baseline="0"/>
        </a:p>
        <a:p>
          <a:pPr algn="l"/>
          <a:r>
            <a:rPr lang="en-US" sz="1100" baseline="0"/>
            <a:t>2. Some low prices products are some of the most well rated . </a:t>
          </a:r>
        </a:p>
        <a:p>
          <a:pPr algn="l"/>
          <a:endParaRPr lang="en-US" sz="1100" baseline="0"/>
        </a:p>
        <a:p>
          <a:pPr algn="l"/>
          <a:r>
            <a:rPr lang="en-US" sz="1100" baseline="0"/>
            <a:t>3. Personal comfort like pillow cases, throw pillows and  office convenience tools like pen holders make some of the best rated products</a:t>
          </a:r>
        </a:p>
        <a:p>
          <a:pPr algn="l"/>
          <a:endParaRPr lang="en-US" sz="1100" baseline="0"/>
        </a:p>
        <a:p>
          <a:pPr algn="l"/>
          <a:r>
            <a:rPr lang="en-US" sz="1100" baseline="0"/>
            <a:t>4. some products like  120W cordless vaccum cleaner has a 49% discount but a 2.8 rating with 69 reviews. It might not be cleaning well </a:t>
          </a:r>
        </a:p>
        <a:p>
          <a:pPr algn="l"/>
          <a:r>
            <a:rPr lang="en-US" sz="1100" baseline="0"/>
            <a:t>    hence the bad ratings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TUDIO" refreshedDate="46184.884834490738" createdVersion="6" refreshedVersion="6" minRefreshableVersion="3" recordCount="112">
  <cacheSource type="worksheet">
    <worksheetSource ref="A1:I113" sheet="Clean"/>
  </cacheSource>
  <cacheFields count="9">
    <cacheField name="Product" numFmtId="0">
      <sharedItems count="109">
        <s v="6 In 1 Bottle Can Opener Multifunctional Easy Opener"/>
        <s v="Creative Owl Shape Keychain Black"/>
        <s v="5 PCS Stainless Steel Cooking Pot Set With Steamed Slices"/>
        <s v="LASA FOLDING TABLE SERVING STAND"/>
        <s v="Simple Metal Dog Art Sculpture Decoration For Home Office"/>
        <s v="LASA 3 Tier Bamboo Shoe Bench Storage Shelf"/>
        <s v="Mythco 120COB Solar Wall Ligt With Motion Sensor And Remote Control 3 Modes"/>
        <s v="3PCS Single Head Knitting Crochet Sweater Needle Set"/>
        <s v="Classic Black Cat Cotton Hemp Pillow Case For Home Car"/>
        <s v="Exfoliate And Exfoliate Face Towel   Black"/>
        <s v="Intelligent  LED Body Sensor Wireless Lighting Night Light USB"/>
        <s v="Anti Skid Absorbent Insulation Coaster  For Home Office"/>
        <s v="2PCS Ice Silk Square Cushion Cover Pillowcases   65x65cm"/>
        <s v="380ML USB Rechargeable Portable Small Blenders And Juicers"/>
        <s v="Brush &amp; Paintbrush Cleaning Tool Pink"/>
        <s v="Christmas Elk Fence Yard Lawn Decorations Cute For Holidays"/>
        <s v="Modern Sofa Throw Pillow Cover 45x45cm Blue&amp;Red"/>
        <s v="Wall Clock With Hidden Safe Box"/>
        <s v="Wall mounted Sticker Punch free Plug Fixer"/>
        <s v="120W Cordless Vacuum Cleaners Handheld Electric Vacuum Cleaner"/>
        <s v="3D Waterproof EVA Plastic Shower Curtain 1.8*2Mtrs"/>
        <s v="4 Piece Coloured Stainless Steel Kitchenware Set"/>
        <s v="4M Float Switch Water Level Controller  Water Tank"/>
        <s v="7PCS Silicone Thumb Knife Finger Protector Vegetable Harvesting Knife"/>
        <s v="Angle Measuring Tool Full Metal Multi Angle Measuring Tool"/>
        <s v="Baby Early Education Shape And Color Cognitive Training Toys"/>
        <s v="Bedroom Simple Floor Hanging Clothes Rack Single Pole Hat Rack   White"/>
        <s v="Car Phone Charging Stand"/>
        <s v="Cartoon Car Decoration Cute Individuality For Car Home Desk"/>
        <s v="Household Pineapple Peeler Peeler"/>
        <s v="LASA Aluminum Folding Truck Hand Cart   68kg Max"/>
        <s v="Christmas Fence Garden Decorations Outdoor For Holiday Home"/>
        <s v="LED Eye Protection  Desk Lamp , Study, Reading, USB Fan   Double Pen Holder"/>
        <s v="Portable Wine Table With Folding Round Table"/>
        <s v="Sewing Machine Needle Threader Stitch Insertion Tool Automatic Quick Sewing"/>
        <s v="2PCS/LOT Solar LED Outdoor Intelligent Light Controlled Wall Lamp"/>
        <s v="40cm Gold DIY Acrylic Wall Sticker Clock"/>
        <s v="6 Layers Steel Pipe Assembling Dustproof Storage Shoe Cabinet"/>
        <s v="7 piece Set Of Storage Bags, Travel Storage Bags, Shoe Bags"/>
        <s v="Black Simple Water Cup Wine Coaster Anti Slip Absorbent"/>
        <s v="Electric LED UV Mosquito Killer Lamp, Outdoor/Indoor Fly Killer Trap Light  USB"/>
        <s v="Metal Decorative Hooks Key Hangers Entryway Wall Hooks Towel Hooks   Home"/>
        <s v="Memory Foam Neck Pillow Cover, With Pillow Core   50*30cm"/>
        <s v="MultiFunctional Storage Rack Multi layer Booelf"/>
        <s v="Peacock  Throw Pillow Cushion Case For Home Car"/>
        <s v="13 In 1 Home Repair Tools Box Kit Set"/>
        <s v="Agapeon Toothbrush Holder And Toothpaste Dispenser"/>
        <s v="Artificial Potted Flowers Room Decorative Flowers (2 Pieces)"/>
        <s v="3PCS Rotary Scraper Thermomix For Kitchen"/>
        <s v="Multifunctional Hanging Storage Box Storage Bag (4 Layers)"/>
        <s v="Watercolour Gold Foil Textured Print Pillow Cover"/>
        <s v="Wrought Iron Bathroom Shelf Wall Mounted Free Punch Toilet Rack"/>
        <s v="4pcs Bathroom/Kitchen Towel Rack,Roll Paper Holder,Towel Bars,Hook"/>
        <s v="8in1 Screwdriver With LED Light"/>
        <s v="Balloon Insert, Birthday Party Balloon Set, PU Leather"/>
        <s v="LASA Digital Thermometer And Hydrometer"/>
        <s v="9pcs Gas Mask, For Painting, Dust, Formaldehyde Grinding, Polishing"/>
        <s v="Cute Christmas Fence Garden Decorations For Holiday Home"/>
        <s v="Punch free Great Load Bearing Bathroom Storage Rack Wall Shelf White"/>
        <s v="DIY File Folder, Office Drawer File Holder, Pen Holder, Desktop Storage Rack"/>
        <s v="32PCS Portable Cordless Drill Set With Cyclic Battery Drive  26 Variable Speed"/>
        <s v="1/2/3 Seater Elastic Sofa Cover,Living Room/Home Decor Chair Cover Grey"/>
        <s v="115  Piece Set Of Multifunctional Precision Screwdrivers"/>
        <s v="2pcs Solar Street Light Flood Light Outdoor"/>
        <s v="LASA Stainless Steel Double Wall Mount Soap Dispenser   500ml"/>
        <s v="Desk Foldable Fan Adjustable Fan Strong Wind 3 Gear Usb"/>
        <s v="Weighing Scale Digital Bathroom Body Fat Scale USB Black"/>
        <s v="5m Waterproof Spherical LED String Lights Outdoor Ball Chain Lights Party Lighting Decoration Adjustable"/>
        <s v="Electronic Digital Display Vernier Caliper"/>
        <s v="LED Romantic Spaceship Starry Sky Projector,Children's Bedroom Night Light Blue"/>
        <s v="100 Pcs Crochet Hook Tool Set Knitting Hook Set With Box"/>
        <s v="12 Litre Insulated Lunch Box Grey"/>
        <s v="Cartoon Embroidered Mini Towel Bear Cotton Wash Cloth Hand 4pcs"/>
        <s v="LED Solar Street Light fake Camera"/>
        <s v="60W Hot Melt Glue Sprayer   Efficient And Stable Glue Dispensing"/>
        <s v="Multifunction Laser Level With Adjustment Tripod"/>
        <s v="12 Litre Black Insulated Lunch Box"/>
        <s v="52 Pieces Cake Decorating Tool Set Gift Kit Baking Supplies"/>
        <s v="Large Lazy Inflatable Sofa Chairs PVC Lounger Seat Bag"/>
        <s v="12V 19500rpm Handheld Electric Angle Grinder Tool   UK   Yellow/Black"/>
        <s v="53 Pieces/Set Yarn Knitting Crochet Hooks With Bag   Pansies"/>
        <s v="53Pcs/Set Yarn Knitting Crochet Hooks With Bag   Fortune Cat"/>
        <s v="Portable Home Small Air Humidifier 3 Speed Fan   Green"/>
        <s v="Portable Mini Cordless Car Vacuum Cleaner   Blue"/>
        <s v="137 Pieces Cake Decorating Tool Set Baking Supplies"/>
        <s v="1PC Refrigerator Food Seal Pocket Fridge Bags"/>
        <s v="Foldable Overbed Table/Desk"/>
        <s v="Pilates Cloth Bag Waterproof Durable High Capacity Purple"/>
        <s v="VIC Wireless Vacuum Cleaner Dual Use For Home And Car 120W High Power Powerful"/>
        <s v="Konka Healty Electric Kettle, 24 hour Heat Preservation,1.5L,800W, White"/>
        <s v="Genebre 115 In 1 Screwdriver Repairing Tool Set For IPhone Cellphone Hand Tool"/>
        <s v="LED Wall Digital Alarm Clock Study Home 12 / 24H Clock Calendar"/>
        <s v="Portable Wardrobe Nonwoven With 3 Hanging Rods And 6 Storage Shelves"/>
        <s v="Office Chair Lumbar Back Support Spine Posture Correction Pillow Car Cushion"/>
        <s v="Wall Mounted Toothbrush Toothpaste Holder With Multiple Slots"/>
        <s v="5 Pieces/set Of Stainless Steel Induction Cooker Pots"/>
        <s v="Outdoor Portable Water Bottle With Medicine Box   600ML   Black"/>
        <s v="220V 60W Electric Soldering Iron Kits With Tools, Tips, And Multimeter"/>
        <s v="Wall Mount Automatic Toothpaste Dispenser Toothbrush Holder Toothpaste Squeezer"/>
        <s v="Cushion Silicone Butt Cushion Summer Ice Cushion Honeycomb Gel Cushion"/>
        <s v="Metal Wall Clock Silver Dial Crystal Jewelry Round Home Decoration Wall Clock"/>
        <s v="Multi purpose Rice Drainage Basket And Fruit And Vegetable Drainage Sieve"/>
        <s v="2 Pairs Cowhide Split Leather Work Gloves.32â„‰ Or Above Welding Gloves"/>
        <s v="Pen Grips For Kids Pen Grip Posture Correction Tool For Kids"/>
        <s v="Portable Soap Dispenser Kitchen Detergent Press Box Kitchen Tools"/>
        <s v="Shower Cap Wide Elastic Band Cover Reusable Bashroom Cap"/>
        <s v="Shower Nozzle Cleaning Unclogging Needle Mini Crevice Small Hole Cleaning Brush"/>
        <s v="Thickening Multipurpose Non Stick Easy To Clean Heat Resistant Spoon Pad"/>
        <s v="24 Grid Wall mounted Sundries Organiser Fabric Closet Bag Storage Rack"/>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Absolute discount" numFmtId="1">
      <sharedItems containsSemiMixedTypes="0" containsString="0" containsNumber="1" containsInteger="1" minValue="24" maxValue="2585"/>
    </cacheField>
    <cacheField name="Discount %" numFmtId="9">
      <sharedItems containsSemiMixedTypes="0" containsString="0" containsNumber="1" minValue="0.01" maxValue="0.64"/>
    </cacheField>
    <cacheField name="Review" numFmtId="1">
      <sharedItems containsString="0" containsBlank="1" containsNumber="1" containsInteger="1" minValue="1" maxValue="69"/>
    </cacheField>
    <cacheField name="Rating" numFmtId="0">
      <sharedItems containsString="0" containsBlank="1" containsNumber="1" minValue="2" maxValue="5" count="23">
        <m/>
        <n v="2.1"/>
        <n v="4.8"/>
        <n v="4.3"/>
        <n v="3"/>
        <n v="3.3"/>
        <n v="5"/>
        <n v="2.7"/>
        <n v="2.2999999999999998"/>
        <n v="2"/>
        <n v="2.8"/>
        <n v="4.5999999999999996"/>
        <n v="4"/>
        <n v="2.2000000000000002"/>
        <n v="4.0999999999999996"/>
        <n v="3.8"/>
        <n v="2.6"/>
        <n v="4.5"/>
        <n v="4.7"/>
        <n v="4.2"/>
        <n v="4.4000000000000004"/>
        <n v="2.9"/>
        <n v="2.5"/>
      </sharedItems>
    </cacheField>
    <cacheField name="rating category" numFmtId="0">
      <sharedItems count="4">
        <s v="Not Reviewed"/>
        <s v="Poor"/>
        <s v="Excellent"/>
        <s v="Average"/>
      </sharedItems>
    </cacheField>
    <cacheField name="Category by Discount" numFmtId="0">
      <sharedItems count="3">
        <s v="High Discount"/>
        <s v="Medium Discount"/>
        <s v="Low Discou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2">
  <r>
    <x v="0"/>
    <n v="199"/>
    <n v="553"/>
    <n v="354"/>
    <n v="0.64"/>
    <m/>
    <x v="0"/>
    <x v="0"/>
    <x v="0"/>
  </r>
  <r>
    <x v="1"/>
    <n v="199"/>
    <n v="504"/>
    <n v="305"/>
    <n v="0.61"/>
    <m/>
    <x v="0"/>
    <x v="0"/>
    <x v="0"/>
  </r>
  <r>
    <x v="2"/>
    <n v="2115"/>
    <n v="4700"/>
    <n v="2585"/>
    <n v="0.55000000000000004"/>
    <n v="13"/>
    <x v="1"/>
    <x v="1"/>
    <x v="0"/>
  </r>
  <r>
    <x v="3"/>
    <n v="1274"/>
    <n v="2800"/>
    <n v="1526"/>
    <n v="0.55000000000000004"/>
    <n v="5"/>
    <x v="2"/>
    <x v="2"/>
    <x v="0"/>
  </r>
  <r>
    <x v="4"/>
    <n v="399"/>
    <n v="896"/>
    <n v="497"/>
    <n v="0.55000000000000004"/>
    <m/>
    <x v="0"/>
    <x v="0"/>
    <x v="0"/>
  </r>
  <r>
    <x v="5"/>
    <n v="2048"/>
    <n v="4500"/>
    <n v="2452"/>
    <n v="0.54"/>
    <n v="7"/>
    <x v="3"/>
    <x v="3"/>
    <x v="0"/>
  </r>
  <r>
    <x v="6"/>
    <n v="458"/>
    <n v="986"/>
    <n v="528"/>
    <n v="0.54"/>
    <n v="10"/>
    <x v="4"/>
    <x v="3"/>
    <x v="0"/>
  </r>
  <r>
    <x v="7"/>
    <n v="38"/>
    <n v="80"/>
    <n v="42"/>
    <n v="0.53"/>
    <n v="13"/>
    <x v="5"/>
    <x v="3"/>
    <x v="0"/>
  </r>
  <r>
    <x v="8"/>
    <n v="171"/>
    <n v="360"/>
    <n v="189"/>
    <n v="0.53"/>
    <n v="2"/>
    <x v="6"/>
    <x v="2"/>
    <x v="0"/>
  </r>
  <r>
    <x v="9"/>
    <n v="185"/>
    <n v="382"/>
    <n v="197"/>
    <n v="0.52"/>
    <n v="9"/>
    <x v="3"/>
    <x v="3"/>
    <x v="0"/>
  </r>
  <r>
    <x v="10"/>
    <n v="325"/>
    <n v="680"/>
    <n v="355"/>
    <n v="0.52"/>
    <n v="15"/>
    <x v="7"/>
    <x v="1"/>
    <x v="0"/>
  </r>
  <r>
    <x v="11"/>
    <n v="332"/>
    <n v="684"/>
    <n v="352"/>
    <n v="0.51"/>
    <n v="2"/>
    <x v="6"/>
    <x v="2"/>
    <x v="0"/>
  </r>
  <r>
    <x v="12"/>
    <n v="1200"/>
    <n v="2400"/>
    <n v="1200"/>
    <n v="0.5"/>
    <m/>
    <x v="0"/>
    <x v="0"/>
    <x v="0"/>
  </r>
  <r>
    <x v="13"/>
    <n v="1000"/>
    <n v="2000"/>
    <n v="1000"/>
    <n v="0.5"/>
    <n v="7"/>
    <x v="8"/>
    <x v="1"/>
    <x v="0"/>
  </r>
  <r>
    <x v="14"/>
    <n v="299"/>
    <n v="600"/>
    <n v="301"/>
    <n v="0.5"/>
    <m/>
    <x v="0"/>
    <x v="0"/>
    <x v="0"/>
  </r>
  <r>
    <x v="15"/>
    <n v="999"/>
    <n v="2000"/>
    <n v="1001"/>
    <n v="0.5"/>
    <m/>
    <x v="0"/>
    <x v="0"/>
    <x v="0"/>
  </r>
  <r>
    <x v="16"/>
    <n v="238"/>
    <n v="476"/>
    <n v="238"/>
    <n v="0.5"/>
    <m/>
    <x v="0"/>
    <x v="0"/>
    <x v="0"/>
  </r>
  <r>
    <x v="17"/>
    <n v="850"/>
    <n v="1700"/>
    <n v="850"/>
    <n v="0.5"/>
    <m/>
    <x v="0"/>
    <x v="0"/>
    <x v="0"/>
  </r>
  <r>
    <x v="18"/>
    <n v="450"/>
    <n v="900"/>
    <n v="450"/>
    <n v="0.5"/>
    <n v="1"/>
    <x v="9"/>
    <x v="1"/>
    <x v="0"/>
  </r>
  <r>
    <x v="19"/>
    <n v="445"/>
    <n v="873"/>
    <n v="428"/>
    <n v="0.49"/>
    <n v="69"/>
    <x v="10"/>
    <x v="1"/>
    <x v="0"/>
  </r>
  <r>
    <x v="20"/>
    <n v="998"/>
    <n v="1966"/>
    <n v="968"/>
    <n v="0.49"/>
    <n v="44"/>
    <x v="11"/>
    <x v="2"/>
    <x v="0"/>
  </r>
  <r>
    <x v="21"/>
    <n v="248"/>
    <n v="486"/>
    <n v="238"/>
    <n v="0.49"/>
    <m/>
    <x v="0"/>
    <x v="0"/>
    <x v="0"/>
  </r>
  <r>
    <x v="22"/>
    <n v="475"/>
    <n v="931"/>
    <n v="456"/>
    <n v="0.49"/>
    <m/>
    <x v="0"/>
    <x v="0"/>
    <x v="0"/>
  </r>
  <r>
    <x v="23"/>
    <n v="230"/>
    <n v="450"/>
    <n v="220"/>
    <n v="0.49"/>
    <m/>
    <x v="0"/>
    <x v="0"/>
    <x v="0"/>
  </r>
  <r>
    <x v="24"/>
    <n v="799"/>
    <n v="1567"/>
    <n v="768"/>
    <n v="0.49"/>
    <m/>
    <x v="0"/>
    <x v="0"/>
    <x v="0"/>
  </r>
  <r>
    <x v="24"/>
    <n v="657"/>
    <n v="1288"/>
    <n v="631"/>
    <n v="0.49"/>
    <m/>
    <x v="0"/>
    <x v="0"/>
    <x v="0"/>
  </r>
  <r>
    <x v="25"/>
    <n v="525"/>
    <n v="1029"/>
    <n v="504"/>
    <n v="0.49"/>
    <m/>
    <x v="0"/>
    <x v="0"/>
    <x v="0"/>
  </r>
  <r>
    <x v="26"/>
    <n v="979"/>
    <n v="1920"/>
    <n v="941"/>
    <n v="0.49"/>
    <n v="1"/>
    <x v="6"/>
    <x v="2"/>
    <x v="0"/>
  </r>
  <r>
    <x v="27"/>
    <n v="671"/>
    <n v="1316"/>
    <n v="645"/>
    <n v="0.49"/>
    <m/>
    <x v="0"/>
    <x v="0"/>
    <x v="0"/>
  </r>
  <r>
    <x v="28"/>
    <n v="274"/>
    <n v="537"/>
    <n v="263"/>
    <n v="0.49"/>
    <m/>
    <x v="0"/>
    <x v="0"/>
    <x v="0"/>
  </r>
  <r>
    <x v="1"/>
    <n v="176"/>
    <n v="345"/>
    <n v="169"/>
    <n v="0.49"/>
    <m/>
    <x v="0"/>
    <x v="0"/>
    <x v="0"/>
  </r>
  <r>
    <x v="29"/>
    <n v="330"/>
    <n v="647"/>
    <n v="317"/>
    <n v="0.49"/>
    <n v="1"/>
    <x v="12"/>
    <x v="3"/>
    <x v="0"/>
  </r>
  <r>
    <x v="30"/>
    <n v="2025"/>
    <n v="3971"/>
    <n v="1946"/>
    <n v="0.49"/>
    <n v="3"/>
    <x v="6"/>
    <x v="2"/>
    <x v="0"/>
  </r>
  <r>
    <x v="31"/>
    <n v="699"/>
    <n v="1343"/>
    <n v="644"/>
    <n v="0.48"/>
    <m/>
    <x v="0"/>
    <x v="0"/>
    <x v="0"/>
  </r>
  <r>
    <x v="32"/>
    <n v="1820"/>
    <n v="3490"/>
    <n v="1670"/>
    <n v="0.48"/>
    <n v="9"/>
    <x v="3"/>
    <x v="3"/>
    <x v="0"/>
  </r>
  <r>
    <x v="33"/>
    <n v="1300"/>
    <n v="2500"/>
    <n v="1200"/>
    <n v="0.48"/>
    <m/>
    <x v="0"/>
    <x v="0"/>
    <x v="0"/>
  </r>
  <r>
    <x v="34"/>
    <n v="105"/>
    <n v="200"/>
    <n v="95"/>
    <n v="0.48"/>
    <m/>
    <x v="0"/>
    <x v="0"/>
    <x v="0"/>
  </r>
  <r>
    <x v="35"/>
    <n v="790"/>
    <n v="1485"/>
    <n v="695"/>
    <n v="0.47"/>
    <m/>
    <x v="0"/>
    <x v="0"/>
    <x v="0"/>
  </r>
  <r>
    <x v="36"/>
    <n v="552"/>
    <n v="1035"/>
    <n v="483"/>
    <n v="0.47"/>
    <n v="12"/>
    <x v="2"/>
    <x v="2"/>
    <x v="0"/>
  </r>
  <r>
    <x v="37"/>
    <n v="899"/>
    <n v="1699"/>
    <n v="800"/>
    <n v="0.47"/>
    <m/>
    <x v="0"/>
    <x v="0"/>
    <x v="0"/>
  </r>
  <r>
    <x v="38"/>
    <n v="968"/>
    <n v="1814"/>
    <n v="846"/>
    <n v="0.47"/>
    <n v="6"/>
    <x v="13"/>
    <x v="1"/>
    <x v="0"/>
  </r>
  <r>
    <x v="39"/>
    <n v="169"/>
    <n v="320"/>
    <n v="151"/>
    <n v="0.47"/>
    <m/>
    <x v="0"/>
    <x v="0"/>
    <x v="0"/>
  </r>
  <r>
    <x v="40"/>
    <n v="1570"/>
    <n v="2988"/>
    <n v="1418"/>
    <n v="0.47"/>
    <n v="7"/>
    <x v="1"/>
    <x v="1"/>
    <x v="0"/>
  </r>
  <r>
    <x v="41"/>
    <n v="527"/>
    <n v="999"/>
    <n v="472"/>
    <n v="0.47"/>
    <n v="14"/>
    <x v="14"/>
    <x v="3"/>
    <x v="0"/>
  </r>
  <r>
    <x v="42"/>
    <n v="1189"/>
    <n v="2199"/>
    <n v="1010"/>
    <n v="0.46"/>
    <n v="1"/>
    <x v="4"/>
    <x v="3"/>
    <x v="0"/>
  </r>
  <r>
    <x v="43"/>
    <n v="2200"/>
    <n v="4080"/>
    <n v="1880"/>
    <n v="0.46"/>
    <m/>
    <x v="0"/>
    <x v="0"/>
    <x v="0"/>
  </r>
  <r>
    <x v="44"/>
    <n v="195"/>
    <n v="360"/>
    <n v="165"/>
    <n v="0.46"/>
    <n v="2"/>
    <x v="6"/>
    <x v="2"/>
    <x v="0"/>
  </r>
  <r>
    <x v="45"/>
    <n v="1600"/>
    <n v="2929"/>
    <n v="1329"/>
    <n v="0.45"/>
    <n v="5"/>
    <x v="15"/>
    <x v="3"/>
    <x v="0"/>
  </r>
  <r>
    <x v="46"/>
    <n v="382"/>
    <n v="700"/>
    <n v="318"/>
    <n v="0.45"/>
    <n v="17"/>
    <x v="16"/>
    <x v="1"/>
    <x v="0"/>
  </r>
  <r>
    <x v="47"/>
    <n v="990"/>
    <n v="1814"/>
    <n v="824"/>
    <n v="0.45"/>
    <n v="6"/>
    <x v="13"/>
    <x v="1"/>
    <x v="0"/>
  </r>
  <r>
    <x v="4"/>
    <n v="499"/>
    <n v="900"/>
    <n v="401"/>
    <n v="0.45"/>
    <m/>
    <x v="0"/>
    <x v="0"/>
    <x v="0"/>
  </r>
  <r>
    <x v="48"/>
    <n v="690"/>
    <n v="1200"/>
    <n v="510"/>
    <n v="0.43"/>
    <m/>
    <x v="0"/>
    <x v="0"/>
    <x v="0"/>
  </r>
  <r>
    <x v="49"/>
    <n v="630"/>
    <n v="1100"/>
    <n v="470"/>
    <n v="0.43"/>
    <m/>
    <x v="0"/>
    <x v="0"/>
    <x v="0"/>
  </r>
  <r>
    <x v="50"/>
    <n v="345"/>
    <n v="602"/>
    <n v="257"/>
    <n v="0.43"/>
    <n v="6"/>
    <x v="8"/>
    <x v="1"/>
    <x v="0"/>
  </r>
  <r>
    <x v="51"/>
    <n v="509"/>
    <n v="899"/>
    <n v="390"/>
    <n v="0.43"/>
    <n v="5"/>
    <x v="4"/>
    <x v="3"/>
    <x v="0"/>
  </r>
  <r>
    <x v="52"/>
    <n v="1860"/>
    <n v="3220"/>
    <n v="1360"/>
    <n v="0.42"/>
    <m/>
    <x v="0"/>
    <x v="0"/>
    <x v="0"/>
  </r>
  <r>
    <x v="53"/>
    <n v="1080"/>
    <n v="1874"/>
    <n v="794"/>
    <n v="0.42"/>
    <m/>
    <x v="0"/>
    <x v="0"/>
    <x v="0"/>
  </r>
  <r>
    <x v="54"/>
    <n v="610"/>
    <n v="1060"/>
    <n v="450"/>
    <n v="0.42"/>
    <m/>
    <x v="0"/>
    <x v="0"/>
    <x v="0"/>
  </r>
  <r>
    <x v="55"/>
    <n v="501"/>
    <n v="860"/>
    <n v="359"/>
    <n v="0.42"/>
    <n v="6"/>
    <x v="17"/>
    <x v="2"/>
    <x v="0"/>
  </r>
  <r>
    <x v="56"/>
    <n v="1420"/>
    <n v="2420"/>
    <n v="1000"/>
    <n v="0.41"/>
    <m/>
    <x v="0"/>
    <x v="0"/>
    <x v="0"/>
  </r>
  <r>
    <x v="57"/>
    <n v="799"/>
    <n v="1343"/>
    <n v="544"/>
    <n v="0.41"/>
    <m/>
    <x v="0"/>
    <x v="0"/>
    <x v="0"/>
  </r>
  <r>
    <x v="58"/>
    <n v="389"/>
    <n v="656"/>
    <n v="267"/>
    <n v="0.41"/>
    <n v="36"/>
    <x v="3"/>
    <x v="3"/>
    <x v="0"/>
  </r>
  <r>
    <x v="59"/>
    <n v="1620"/>
    <n v="2690"/>
    <n v="1070"/>
    <n v="0.4"/>
    <n v="1"/>
    <x v="6"/>
    <x v="2"/>
    <x v="1"/>
  </r>
  <r>
    <x v="60"/>
    <n v="3750"/>
    <n v="6143"/>
    <n v="2393"/>
    <n v="0.39"/>
    <n v="5"/>
    <x v="4"/>
    <x v="3"/>
    <x v="1"/>
  </r>
  <r>
    <x v="61"/>
    <n v="1800"/>
    <n v="2700"/>
    <n v="900"/>
    <n v="0.38"/>
    <n v="2"/>
    <x v="17"/>
    <x v="2"/>
    <x v="1"/>
  </r>
  <r>
    <x v="62"/>
    <n v="950"/>
    <n v="1525"/>
    <n v="575"/>
    <n v="0.38"/>
    <n v="2"/>
    <x v="17"/>
    <x v="2"/>
    <x v="1"/>
  </r>
  <r>
    <x v="63"/>
    <n v="1200"/>
    <n v="1950"/>
    <n v="750"/>
    <n v="0.38"/>
    <m/>
    <x v="0"/>
    <x v="0"/>
    <x v="1"/>
  </r>
  <r>
    <x v="64"/>
    <n v="2750"/>
    <n v="4471"/>
    <n v="1721"/>
    <n v="0.38"/>
    <m/>
    <x v="0"/>
    <x v="0"/>
    <x v="1"/>
  </r>
  <r>
    <x v="65"/>
    <n v="988"/>
    <n v="1580"/>
    <n v="592"/>
    <n v="0.37"/>
    <n v="2"/>
    <x v="12"/>
    <x v="3"/>
    <x v="1"/>
  </r>
  <r>
    <x v="66"/>
    <n v="1580"/>
    <n v="2499"/>
    <n v="919"/>
    <n v="0.37"/>
    <n v="7"/>
    <x v="18"/>
    <x v="2"/>
    <x v="1"/>
  </r>
  <r>
    <x v="67"/>
    <n v="1460"/>
    <n v="2290"/>
    <n v="830"/>
    <n v="0.36"/>
    <m/>
    <x v="0"/>
    <x v="0"/>
    <x v="1"/>
  </r>
  <r>
    <x v="68"/>
    <n v="420"/>
    <n v="647"/>
    <n v="227"/>
    <n v="0.35"/>
    <n v="49"/>
    <x v="11"/>
    <x v="2"/>
    <x v="1"/>
  </r>
  <r>
    <x v="69"/>
    <n v="880"/>
    <n v="1350"/>
    <n v="470"/>
    <n v="0.35"/>
    <n v="6"/>
    <x v="12"/>
    <x v="3"/>
    <x v="1"/>
  </r>
  <r>
    <x v="70"/>
    <n v="990"/>
    <n v="1500"/>
    <n v="510"/>
    <n v="0.34"/>
    <n v="39"/>
    <x v="18"/>
    <x v="2"/>
    <x v="1"/>
  </r>
  <r>
    <x v="71"/>
    <n v="980"/>
    <n v="1490"/>
    <n v="510"/>
    <n v="0.34"/>
    <n v="12"/>
    <x v="18"/>
    <x v="2"/>
    <x v="1"/>
  </r>
  <r>
    <x v="72"/>
    <n v="1190"/>
    <n v="1810"/>
    <n v="620"/>
    <n v="0.34"/>
    <m/>
    <x v="0"/>
    <x v="0"/>
    <x v="1"/>
  </r>
  <r>
    <x v="73"/>
    <n v="1150"/>
    <n v="1737"/>
    <n v="587"/>
    <n v="0.34"/>
    <m/>
    <x v="0"/>
    <x v="0"/>
    <x v="1"/>
  </r>
  <r>
    <x v="74"/>
    <n v="1190"/>
    <n v="1785"/>
    <n v="595"/>
    <n v="0.33"/>
    <m/>
    <x v="0"/>
    <x v="0"/>
    <x v="1"/>
  </r>
  <r>
    <x v="75"/>
    <n v="1680"/>
    <n v="2499"/>
    <n v="819"/>
    <n v="0.33"/>
    <n v="9"/>
    <x v="19"/>
    <x v="3"/>
    <x v="1"/>
  </r>
  <r>
    <x v="76"/>
    <n v="1350"/>
    <n v="1990"/>
    <n v="640"/>
    <n v="0.32"/>
    <n v="13"/>
    <x v="15"/>
    <x v="3"/>
    <x v="1"/>
  </r>
  <r>
    <x v="77"/>
    <n v="1758"/>
    <n v="2499"/>
    <n v="741"/>
    <n v="0.3"/>
    <n v="20"/>
    <x v="14"/>
    <x v="3"/>
    <x v="1"/>
  </r>
  <r>
    <x v="78"/>
    <n v="2300"/>
    <n v="3240"/>
    <n v="940"/>
    <n v="0.28999999999999998"/>
    <n v="5"/>
    <x v="4"/>
    <x v="3"/>
    <x v="1"/>
  </r>
  <r>
    <x v="79"/>
    <n v="2799"/>
    <n v="3810"/>
    <n v="1011"/>
    <n v="0.27"/>
    <m/>
    <x v="0"/>
    <x v="0"/>
    <x v="1"/>
  </r>
  <r>
    <x v="80"/>
    <n v="1980"/>
    <n v="2699"/>
    <n v="719"/>
    <n v="0.27"/>
    <n v="32"/>
    <x v="17"/>
    <x v="2"/>
    <x v="1"/>
  </r>
  <r>
    <x v="81"/>
    <n v="1940"/>
    <n v="2650"/>
    <n v="710"/>
    <n v="0.27"/>
    <n v="20"/>
    <x v="18"/>
    <x v="2"/>
    <x v="1"/>
  </r>
  <r>
    <x v="82"/>
    <n v="1740"/>
    <n v="2356"/>
    <n v="616"/>
    <n v="0.26"/>
    <n v="5"/>
    <x v="2"/>
    <x v="2"/>
    <x v="1"/>
  </r>
  <r>
    <x v="83"/>
    <n v="2199"/>
    <n v="2923"/>
    <n v="724"/>
    <n v="0.25"/>
    <n v="24"/>
    <x v="11"/>
    <x v="2"/>
    <x v="1"/>
  </r>
  <r>
    <x v="84"/>
    <n v="2319"/>
    <n v="3032"/>
    <n v="713"/>
    <n v="0.24"/>
    <n v="55"/>
    <x v="11"/>
    <x v="2"/>
    <x v="1"/>
  </r>
  <r>
    <x v="85"/>
    <n v="198"/>
    <n v="260"/>
    <n v="62"/>
    <n v="0.24"/>
    <m/>
    <x v="0"/>
    <x v="0"/>
    <x v="1"/>
  </r>
  <r>
    <x v="86"/>
    <n v="1650"/>
    <n v="2150"/>
    <n v="500"/>
    <n v="0.23"/>
    <n v="14"/>
    <x v="20"/>
    <x v="3"/>
    <x v="1"/>
  </r>
  <r>
    <x v="87"/>
    <n v="299"/>
    <n v="384"/>
    <n v="85"/>
    <n v="0.22"/>
    <m/>
    <x v="0"/>
    <x v="0"/>
    <x v="1"/>
  </r>
  <r>
    <x v="88"/>
    <n v="1220"/>
    <n v="1555"/>
    <n v="335"/>
    <n v="0.22"/>
    <n v="16"/>
    <x v="21"/>
    <x v="1"/>
    <x v="1"/>
  </r>
  <r>
    <x v="89"/>
    <n v="3640"/>
    <n v="4588"/>
    <n v="948"/>
    <n v="0.21"/>
    <n v="1"/>
    <x v="6"/>
    <x v="2"/>
    <x v="1"/>
  </r>
  <r>
    <x v="90"/>
    <n v="799"/>
    <n v="999"/>
    <n v="200"/>
    <n v="0.2"/>
    <n v="12"/>
    <x v="14"/>
    <x v="3"/>
    <x v="1"/>
  </r>
  <r>
    <x v="91"/>
    <n v="2999"/>
    <n v="3699"/>
    <n v="700"/>
    <n v="0.19"/>
    <n v="5"/>
    <x v="11"/>
    <x v="2"/>
    <x v="2"/>
  </r>
  <r>
    <x v="92"/>
    <n v="2880"/>
    <n v="3520"/>
    <n v="640"/>
    <n v="0.18"/>
    <n v="12"/>
    <x v="15"/>
    <x v="3"/>
    <x v="2"/>
  </r>
  <r>
    <x v="93"/>
    <n v="1466"/>
    <n v="1699"/>
    <n v="233"/>
    <n v="0.14000000000000001"/>
    <m/>
    <x v="0"/>
    <x v="0"/>
    <x v="2"/>
  </r>
  <r>
    <x v="94"/>
    <n v="1468"/>
    <n v="1699"/>
    <n v="231"/>
    <n v="0.14000000000000001"/>
    <m/>
    <x v="0"/>
    <x v="0"/>
    <x v="2"/>
  </r>
  <r>
    <x v="95"/>
    <n v="2170"/>
    <n v="2500"/>
    <n v="330"/>
    <n v="0.13"/>
    <n v="6"/>
    <x v="22"/>
    <x v="1"/>
    <x v="2"/>
  </r>
  <r>
    <x v="96"/>
    <n v="799"/>
    <n v="900"/>
    <n v="101"/>
    <n v="0.11"/>
    <m/>
    <x v="0"/>
    <x v="0"/>
    <x v="2"/>
  </r>
  <r>
    <x v="97"/>
    <n v="2999"/>
    <n v="3290"/>
    <n v="291"/>
    <n v="0.09"/>
    <n v="15"/>
    <x v="12"/>
    <x v="3"/>
    <x v="2"/>
  </r>
  <r>
    <x v="98"/>
    <n v="1526"/>
    <n v="1660"/>
    <n v="134"/>
    <n v="0.08"/>
    <m/>
    <x v="0"/>
    <x v="0"/>
    <x v="2"/>
  </r>
  <r>
    <x v="99"/>
    <n v="1732"/>
    <n v="1799"/>
    <n v="67"/>
    <n v="0.04"/>
    <m/>
    <x v="0"/>
    <x v="0"/>
    <x v="2"/>
  </r>
  <r>
    <x v="100"/>
    <n v="3546"/>
    <n v="3699"/>
    <n v="153"/>
    <n v="0.04"/>
    <m/>
    <x v="0"/>
    <x v="0"/>
    <x v="2"/>
  </r>
  <r>
    <x v="101"/>
    <n v="1459"/>
    <n v="1499"/>
    <n v="40"/>
    <n v="0.03"/>
    <m/>
    <x v="0"/>
    <x v="0"/>
    <x v="2"/>
  </r>
  <r>
    <x v="102"/>
    <n v="1666"/>
    <n v="1699"/>
    <n v="33"/>
    <n v="0.02"/>
    <m/>
    <x v="0"/>
    <x v="0"/>
    <x v="2"/>
  </r>
  <r>
    <x v="103"/>
    <n v="1660"/>
    <n v="1699"/>
    <n v="39"/>
    <n v="0.02"/>
    <m/>
    <x v="0"/>
    <x v="0"/>
    <x v="2"/>
  </r>
  <r>
    <x v="104"/>
    <n v="1462"/>
    <n v="1499"/>
    <n v="37"/>
    <n v="0.02"/>
    <m/>
    <x v="0"/>
    <x v="0"/>
    <x v="2"/>
  </r>
  <r>
    <x v="105"/>
    <n v="2132"/>
    <n v="2169"/>
    <n v="37"/>
    <n v="0.02"/>
    <m/>
    <x v="0"/>
    <x v="0"/>
    <x v="2"/>
  </r>
  <r>
    <x v="106"/>
    <n v="1658"/>
    <n v="1699"/>
    <n v="41"/>
    <n v="0.02"/>
    <m/>
    <x v="0"/>
    <x v="0"/>
    <x v="2"/>
  </r>
  <r>
    <x v="107"/>
    <n v="1768"/>
    <n v="1799"/>
    <n v="31"/>
    <n v="0.02"/>
    <m/>
    <x v="0"/>
    <x v="0"/>
    <x v="2"/>
  </r>
  <r>
    <x v="108"/>
    <n v="1875"/>
    <n v="1899"/>
    <n v="24"/>
    <n v="0.01"/>
    <m/>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9">
    <pivotField axis="axisRow" showAll="0" measureFilter="1" sortType="descending">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9" showAll="0"/>
    <pivotField showAll="0"/>
    <pivotField dataField="1" showAll="0"/>
    <pivotField showAll="0"/>
    <pivotField showAll="0"/>
  </pivotFields>
  <rowFields count="1">
    <field x="0"/>
  </rowFields>
  <rowItems count="8">
    <i>
      <x v="40"/>
    </i>
    <i>
      <x v="68"/>
    </i>
    <i>
      <x v="65"/>
    </i>
    <i>
      <x v="44"/>
    </i>
    <i>
      <x v="87"/>
    </i>
    <i>
      <x v="52"/>
    </i>
    <i>
      <x v="57"/>
    </i>
    <i t="grand">
      <x/>
    </i>
  </rowItems>
  <colItems count="1">
    <i/>
  </colItems>
  <dataFields count="1">
    <dataField name="Max of Rating" fld="6" subtotal="max"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3" firstHeaderRow="1" firstDataRow="1" firstDataCol="1"/>
  <pivotFields count="9">
    <pivotField axis="axisRow" showAll="0" sortType="ascending">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9" showAll="0"/>
    <pivotField showAll="0"/>
    <pivotField dataField="1" showAll="0"/>
    <pivotField showAll="0"/>
    <pivotField showAll="0"/>
  </pivotFields>
  <rowFields count="1">
    <field x="0"/>
  </rowFields>
  <rowItems count="110">
    <i>
      <x v="54"/>
    </i>
    <i>
      <x v="53"/>
    </i>
    <i>
      <x v="46"/>
    </i>
    <i>
      <x v="47"/>
    </i>
    <i>
      <x v="6"/>
    </i>
    <i>
      <x v="48"/>
    </i>
    <i>
      <x v="103"/>
    </i>
    <i>
      <x v="49"/>
    </i>
    <i>
      <x v="12"/>
    </i>
    <i>
      <x v="50"/>
    </i>
    <i>
      <x v="14"/>
    </i>
    <i>
      <x v="51"/>
    </i>
    <i>
      <x v="19"/>
    </i>
    <i>
      <x v="55"/>
    </i>
    <i>
      <x v="23"/>
    </i>
    <i>
      <x v="71"/>
    </i>
    <i>
      <x v="30"/>
    </i>
    <i>
      <x v="74"/>
    </i>
    <i>
      <x v="32"/>
    </i>
    <i>
      <x v="78"/>
    </i>
    <i>
      <x v="35"/>
    </i>
    <i>
      <x v="79"/>
    </i>
    <i>
      <x v="37"/>
    </i>
    <i>
      <x v="80"/>
    </i>
    <i>
      <x v="42"/>
    </i>
    <i>
      <x v="82"/>
    </i>
    <i>
      <x v="45"/>
    </i>
    <i>
      <x v="83"/>
    </i>
    <i>
      <x v="9"/>
    </i>
    <i>
      <x v="85"/>
    </i>
    <i>
      <x v="13"/>
    </i>
    <i>
      <x v="86"/>
    </i>
    <i>
      <x v="21"/>
    </i>
    <i>
      <x v="88"/>
    </i>
    <i>
      <x v="31"/>
    </i>
    <i>
      <x v="89"/>
    </i>
    <i>
      <x v="36"/>
    </i>
    <i>
      <x v="92"/>
    </i>
    <i>
      <x v="43"/>
    </i>
    <i>
      <x v="94"/>
    </i>
    <i>
      <x v="10"/>
    </i>
    <i>
      <x v="96"/>
    </i>
    <i>
      <x v="24"/>
    </i>
    <i>
      <x v="97"/>
    </i>
    <i>
      <x v="39"/>
    </i>
    <i>
      <x v="98"/>
    </i>
    <i>
      <x v="15"/>
    </i>
    <i>
      <x v="99"/>
    </i>
    <i>
      <x v="105"/>
    </i>
    <i>
      <x v="100"/>
    </i>
    <i>
      <x v="33"/>
    </i>
    <i>
      <x v="102"/>
    </i>
    <i>
      <x v="104"/>
    </i>
    <i>
      <x v="58"/>
    </i>
    <i>
      <x v="25"/>
    </i>
    <i>
      <x v="41"/>
    </i>
    <i>
      <x v="34"/>
    </i>
    <i>
      <x v="106"/>
    </i>
    <i>
      <x v="17"/>
    </i>
    <i>
      <x v="26"/>
    </i>
    <i>
      <x v="38"/>
    </i>
    <i>
      <x v="64"/>
    </i>
    <i>
      <x v="5"/>
    </i>
    <i>
      <x v="101"/>
    </i>
    <i>
      <x v="108"/>
    </i>
    <i>
      <x v="16"/>
    </i>
    <i>
      <x v="76"/>
    </i>
    <i>
      <x v="84"/>
    </i>
    <i>
      <x v="66"/>
    </i>
    <i>
      <x v="20"/>
    </i>
    <i>
      <x v="93"/>
    </i>
    <i>
      <x v="7"/>
    </i>
    <i>
      <x v="3"/>
    </i>
    <i>
      <x v="73"/>
    </i>
    <i>
      <x v="63"/>
    </i>
    <i>
      <x v="56"/>
    </i>
    <i>
      <x v="11"/>
    </i>
    <i>
      <x v="27"/>
    </i>
    <i>
      <x v="62"/>
    </i>
    <i>
      <x v="77"/>
    </i>
    <i>
      <x v="81"/>
    </i>
    <i>
      <x v="60"/>
    </i>
    <i>
      <x v="95"/>
    </i>
    <i>
      <x v="67"/>
    </i>
    <i>
      <x v="72"/>
    </i>
    <i>
      <x v="61"/>
    </i>
    <i>
      <x/>
    </i>
    <i>
      <x v="69"/>
    </i>
    <i>
      <x v="28"/>
    </i>
    <i>
      <x v="2"/>
    </i>
    <i>
      <x v="18"/>
    </i>
    <i>
      <x v="75"/>
    </i>
    <i>
      <x v="59"/>
    </i>
    <i>
      <x v="8"/>
    </i>
    <i>
      <x v="91"/>
    </i>
    <i>
      <x v="4"/>
    </i>
    <i>
      <x v="29"/>
    </i>
    <i>
      <x v="1"/>
    </i>
    <i>
      <x v="107"/>
    </i>
    <i>
      <x v="70"/>
    </i>
    <i>
      <x v="22"/>
    </i>
    <i>
      <x v="90"/>
    </i>
    <i>
      <x v="57"/>
    </i>
    <i>
      <x v="52"/>
    </i>
    <i>
      <x v="40"/>
    </i>
    <i>
      <x v="65"/>
    </i>
    <i>
      <x v="87"/>
    </i>
    <i>
      <x v="44"/>
    </i>
    <i>
      <x v="68"/>
    </i>
    <i t="grand">
      <x/>
    </i>
  </rowItems>
  <colItems count="1">
    <i/>
  </colItems>
  <dataFields count="1">
    <dataField name="Min of Rating" fld="6"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9">
    <pivotField axis="axisRow" showAll="0" measureFilter="1" sortType="descending">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n="10 discount"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dataField="1" numFmtId="9" showAll="0"/>
    <pivotField showAll="0"/>
    <pivotField showAll="0"/>
    <pivotField showAll="0"/>
    <pivotField showAll="0"/>
  </pivotFields>
  <rowFields count="1">
    <field x="0"/>
  </rowFields>
  <rowItems count="11">
    <i>
      <x v="54"/>
    </i>
    <i>
      <x v="78"/>
    </i>
    <i>
      <x v="80"/>
    </i>
    <i>
      <x v="97"/>
    </i>
    <i>
      <x v="100"/>
    </i>
    <i>
      <x v="98"/>
    </i>
    <i>
      <x v="10"/>
    </i>
    <i>
      <x v="88"/>
    </i>
    <i>
      <x v="92"/>
    </i>
    <i>
      <x v="12"/>
    </i>
    <i t="grand">
      <x/>
    </i>
  </rowItems>
  <colItems count="1">
    <i/>
  </colItems>
  <dataFields count="1">
    <dataField name="Max of Discount %" fld="4" subtotal="max" baseField="0" baseItem="70"/>
  </dataField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4" firstHeaderRow="1" firstDataRow="1" firstDataCol="1"/>
  <pivotFields count="9">
    <pivotField axis="axisRow" showAll="0" measureFilter="1" sortType="descending">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9" showAll="0"/>
    <pivotField dataField="1" showAll="0"/>
    <pivotField showAll="0"/>
    <pivotField showAll="0"/>
    <pivotField showAll="0"/>
  </pivotFields>
  <rowFields count="1">
    <field x="0"/>
  </rowFields>
  <rowItems count="11">
    <i>
      <x v="5"/>
    </i>
    <i>
      <x v="8"/>
    </i>
    <i>
      <x v="59"/>
    </i>
    <i>
      <x v="18"/>
    </i>
    <i>
      <x v="1"/>
    </i>
    <i>
      <x v="95"/>
    </i>
    <i>
      <x v="28"/>
    </i>
    <i>
      <x v="91"/>
    </i>
    <i>
      <x v="29"/>
    </i>
    <i>
      <x v="27"/>
    </i>
    <i t="grand">
      <x/>
    </i>
  </rowItems>
  <colItems count="1">
    <i/>
  </colItems>
  <dataFields count="1">
    <dataField name="Max of Review" fld="5" subtotal="max" baseField="0"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9">
    <pivotField showAll="0">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pivotField>
    <pivotField numFmtId="1" showAll="0"/>
    <pivotField numFmtId="1" showAll="0"/>
    <pivotField numFmtId="1" showAll="0"/>
    <pivotField numFmtId="9" showAll="0"/>
    <pivotField dataField="1" showAll="0"/>
    <pivotField dataField="1" showAll="0"/>
    <pivotField showAll="0"/>
    <pivotField axis="axisRow" showAll="0">
      <items count="4">
        <item x="0"/>
        <item x="2"/>
        <item x="1"/>
        <item t="default"/>
      </items>
    </pivotField>
  </pivotFields>
  <rowFields count="1">
    <field x="8"/>
  </rowFields>
  <rowItems count="4">
    <i>
      <x/>
    </i>
    <i>
      <x v="1"/>
    </i>
    <i>
      <x v="2"/>
    </i>
    <i t="grand">
      <x/>
    </i>
  </rowItems>
  <colFields count="1">
    <field x="-2"/>
  </colFields>
  <colItems count="2">
    <i>
      <x/>
    </i>
    <i i="1">
      <x v="1"/>
    </i>
  </colItems>
  <dataFields count="2">
    <dataField name="Average of Rating" fld="6" subtotal="average" baseField="8" baseItem="0"/>
    <dataField name="Average of Review" fld="5"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13" firstHeaderRow="0" firstDataRow="1" firstDataCol="1"/>
  <pivotFields count="9">
    <pivotField axis="axisRow" showAll="0">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pivotField>
    <pivotField numFmtId="1" showAll="0"/>
    <pivotField numFmtId="1" showAll="0"/>
    <pivotField numFmtId="1" showAll="0"/>
    <pivotField dataField="1" numFmtId="9" showAll="0"/>
    <pivotField dataField="1" showAll="0"/>
    <pivotField dataField="1" showAll="0">
      <items count="24">
        <item x="9"/>
        <item x="1"/>
        <item x="13"/>
        <item x="8"/>
        <item x="22"/>
        <item x="16"/>
        <item x="7"/>
        <item x="10"/>
        <item x="21"/>
        <item x="4"/>
        <item x="5"/>
        <item x="15"/>
        <item x="12"/>
        <item x="14"/>
        <item x="19"/>
        <item x="3"/>
        <item x="20"/>
        <item x="17"/>
        <item x="11"/>
        <item x="18"/>
        <item x="2"/>
        <item x="6"/>
        <item x="0"/>
        <item t="default"/>
      </items>
    </pivotField>
    <pivotField showAll="0"/>
    <pivotField showAll="0">
      <items count="4">
        <item x="0"/>
        <item x="2"/>
        <item x="1"/>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3">
    <i>
      <x/>
    </i>
    <i i="1">
      <x v="1"/>
    </i>
    <i i="2">
      <x v="2"/>
    </i>
  </colItems>
  <dataFields count="3">
    <dataField name="Max of Review" fld="5" subtotal="max" baseField="0" baseItem="0"/>
    <dataField name="Max of Rating" fld="6" subtotal="max" baseField="0" baseItem="0"/>
    <dataField name="Max of Discount %" fld="4" subtotal="max" baseField="0" baseItem="0"/>
  </dataFields>
  <chartFormats count="12">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E9" firstHeaderRow="1" firstDataRow="2" firstDataCol="1"/>
  <pivotFields count="9">
    <pivotField dataField="1" showAll="0">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pivotField>
    <pivotField numFmtId="1" showAll="0"/>
    <pivotField numFmtId="1" showAll="0"/>
    <pivotField numFmtId="1" showAll="0"/>
    <pivotField numFmtId="9" showAll="0"/>
    <pivotField showAll="0"/>
    <pivotField showAll="0"/>
    <pivotField axis="axisRow" showAll="0">
      <items count="5">
        <item x="3"/>
        <item x="2"/>
        <item x="0"/>
        <item x="1"/>
        <item t="default"/>
      </items>
    </pivotField>
    <pivotField axis="axisCol" showAll="0">
      <items count="4">
        <item x="0"/>
        <item x="2"/>
        <item x="1"/>
        <item t="default"/>
      </items>
    </pivotField>
  </pivotFields>
  <rowFields count="1">
    <field x="7"/>
  </rowFields>
  <rowItems count="5">
    <i>
      <x/>
    </i>
    <i>
      <x v="1"/>
    </i>
    <i>
      <x v="2"/>
    </i>
    <i>
      <x v="3"/>
    </i>
    <i t="grand">
      <x/>
    </i>
  </rowItems>
  <colFields count="1">
    <field x="8"/>
  </colFields>
  <colItems count="4">
    <i>
      <x/>
    </i>
    <i>
      <x v="1"/>
    </i>
    <i>
      <x v="2"/>
    </i>
    <i t="grand">
      <x/>
    </i>
  </colItems>
  <dataFields count="1">
    <dataField name="Count of Product" fld="0" subtotal="count" baseField="0" baseItem="0"/>
  </dataFields>
  <chartFormats count="30">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4" format="18" series="1">
      <pivotArea type="data" outline="0" fieldPosition="0">
        <references count="2">
          <reference field="4294967294" count="1" selected="0">
            <x v="0"/>
          </reference>
          <reference field="8" count="1" selected="0">
            <x v="0"/>
          </reference>
        </references>
      </pivotArea>
    </chartFormat>
    <chartFormat chart="4" format="19">
      <pivotArea type="data" outline="0" fieldPosition="0">
        <references count="3">
          <reference field="4294967294" count="1" selected="0">
            <x v="0"/>
          </reference>
          <reference field="7" count="1" selected="0">
            <x v="0"/>
          </reference>
          <reference field="8" count="1" selected="0">
            <x v="0"/>
          </reference>
        </references>
      </pivotArea>
    </chartFormat>
    <chartFormat chart="4" format="20">
      <pivotArea type="data" outline="0" fieldPosition="0">
        <references count="3">
          <reference field="4294967294" count="1" selected="0">
            <x v="0"/>
          </reference>
          <reference field="7" count="1" selected="0">
            <x v="1"/>
          </reference>
          <reference field="8" count="1" selected="0">
            <x v="0"/>
          </reference>
        </references>
      </pivotArea>
    </chartFormat>
    <chartFormat chart="4" format="21">
      <pivotArea type="data" outline="0" fieldPosition="0">
        <references count="3">
          <reference field="4294967294" count="1" selected="0">
            <x v="0"/>
          </reference>
          <reference field="7" count="1" selected="0">
            <x v="2"/>
          </reference>
          <reference field="8" count="1" selected="0">
            <x v="0"/>
          </reference>
        </references>
      </pivotArea>
    </chartFormat>
    <chartFormat chart="4" format="22">
      <pivotArea type="data" outline="0" fieldPosition="0">
        <references count="3">
          <reference field="4294967294" count="1" selected="0">
            <x v="0"/>
          </reference>
          <reference field="7" count="1" selected="0">
            <x v="3"/>
          </reference>
          <reference field="8" count="1" selected="0">
            <x v="0"/>
          </reference>
        </references>
      </pivotArea>
    </chartFormat>
    <chartFormat chart="4" format="23" series="1">
      <pivotArea type="data" outline="0" fieldPosition="0">
        <references count="2">
          <reference field="4294967294" count="1" selected="0">
            <x v="0"/>
          </reference>
          <reference field="8" count="1" selected="0">
            <x v="1"/>
          </reference>
        </references>
      </pivotArea>
    </chartFormat>
    <chartFormat chart="4" format="24">
      <pivotArea type="data" outline="0" fieldPosition="0">
        <references count="3">
          <reference field="4294967294" count="1" selected="0">
            <x v="0"/>
          </reference>
          <reference field="7" count="1" selected="0">
            <x v="0"/>
          </reference>
          <reference field="8" count="1" selected="0">
            <x v="1"/>
          </reference>
        </references>
      </pivotArea>
    </chartFormat>
    <chartFormat chart="4" format="25">
      <pivotArea type="data" outline="0" fieldPosition="0">
        <references count="3">
          <reference field="4294967294" count="1" selected="0">
            <x v="0"/>
          </reference>
          <reference field="7" count="1" selected="0">
            <x v="1"/>
          </reference>
          <reference field="8" count="1" selected="0">
            <x v="1"/>
          </reference>
        </references>
      </pivotArea>
    </chartFormat>
    <chartFormat chart="4" format="26">
      <pivotArea type="data" outline="0" fieldPosition="0">
        <references count="3">
          <reference field="4294967294" count="1" selected="0">
            <x v="0"/>
          </reference>
          <reference field="7" count="1" selected="0">
            <x v="2"/>
          </reference>
          <reference field="8" count="1" selected="0">
            <x v="1"/>
          </reference>
        </references>
      </pivotArea>
    </chartFormat>
    <chartFormat chart="4" format="27">
      <pivotArea type="data" outline="0" fieldPosition="0">
        <references count="3">
          <reference field="4294967294" count="1" selected="0">
            <x v="0"/>
          </reference>
          <reference field="7" count="1" selected="0">
            <x v="3"/>
          </reference>
          <reference field="8" count="1" selected="0">
            <x v="1"/>
          </reference>
        </references>
      </pivotArea>
    </chartFormat>
    <chartFormat chart="4" format="28" series="1">
      <pivotArea type="data" outline="0" fieldPosition="0">
        <references count="2">
          <reference field="4294967294" count="1" selected="0">
            <x v="0"/>
          </reference>
          <reference field="8" count="1" selected="0">
            <x v="2"/>
          </reference>
        </references>
      </pivotArea>
    </chartFormat>
    <chartFormat chart="4" format="29">
      <pivotArea type="data" outline="0" fieldPosition="0">
        <references count="3">
          <reference field="4294967294" count="1" selected="0">
            <x v="0"/>
          </reference>
          <reference field="7" count="1" selected="0">
            <x v="0"/>
          </reference>
          <reference field="8" count="1" selected="0">
            <x v="2"/>
          </reference>
        </references>
      </pivotArea>
    </chartFormat>
    <chartFormat chart="4" format="30">
      <pivotArea type="data" outline="0" fieldPosition="0">
        <references count="3">
          <reference field="4294967294" count="1" selected="0">
            <x v="0"/>
          </reference>
          <reference field="7" count="1" selected="0">
            <x v="1"/>
          </reference>
          <reference field="8" count="1" selected="0">
            <x v="2"/>
          </reference>
        </references>
      </pivotArea>
    </chartFormat>
    <chartFormat chart="4" format="31">
      <pivotArea type="data" outline="0" fieldPosition="0">
        <references count="3">
          <reference field="4294967294" count="1" selected="0">
            <x v="0"/>
          </reference>
          <reference field="7" count="1" selected="0">
            <x v="2"/>
          </reference>
          <reference field="8" count="1" selected="0">
            <x v="2"/>
          </reference>
        </references>
      </pivotArea>
    </chartFormat>
    <chartFormat chart="4" format="32">
      <pivotArea type="data" outline="0" fieldPosition="0">
        <references count="3">
          <reference field="4294967294" count="1" selected="0">
            <x v="0"/>
          </reference>
          <reference field="7" count="1" selected="0">
            <x v="3"/>
          </reference>
          <reference field="8" count="1" selected="0">
            <x v="2"/>
          </reference>
        </references>
      </pivotArea>
    </chartFormat>
    <chartFormat chart="1" format="3">
      <pivotArea type="data" outline="0" fieldPosition="0">
        <references count="3">
          <reference field="4294967294" count="1" selected="0">
            <x v="0"/>
          </reference>
          <reference field="7" count="1" selected="0">
            <x v="0"/>
          </reference>
          <reference field="8" count="1" selected="0">
            <x v="0"/>
          </reference>
        </references>
      </pivotArea>
    </chartFormat>
    <chartFormat chart="1" format="4">
      <pivotArea type="data" outline="0" fieldPosition="0">
        <references count="3">
          <reference field="4294967294" count="1" selected="0">
            <x v="0"/>
          </reference>
          <reference field="7" count="1" selected="0">
            <x v="1"/>
          </reference>
          <reference field="8" count="1" selected="0">
            <x v="0"/>
          </reference>
        </references>
      </pivotArea>
    </chartFormat>
    <chartFormat chart="1" format="5">
      <pivotArea type="data" outline="0" fieldPosition="0">
        <references count="3">
          <reference field="4294967294" count="1" selected="0">
            <x v="0"/>
          </reference>
          <reference field="7" count="1" selected="0">
            <x v="2"/>
          </reference>
          <reference field="8" count="1" selected="0">
            <x v="0"/>
          </reference>
        </references>
      </pivotArea>
    </chartFormat>
    <chartFormat chart="1" format="6">
      <pivotArea type="data" outline="0" fieldPosition="0">
        <references count="3">
          <reference field="4294967294" count="1" selected="0">
            <x v="0"/>
          </reference>
          <reference field="7" count="1" selected="0">
            <x v="3"/>
          </reference>
          <reference field="8" count="1" selected="0">
            <x v="0"/>
          </reference>
        </references>
      </pivotArea>
    </chartFormat>
    <chartFormat chart="1" format="7">
      <pivotArea type="data" outline="0" fieldPosition="0">
        <references count="3">
          <reference field="4294967294" count="1" selected="0">
            <x v="0"/>
          </reference>
          <reference field="7" count="1" selected="0">
            <x v="0"/>
          </reference>
          <reference field="8" count="1" selected="0">
            <x v="1"/>
          </reference>
        </references>
      </pivotArea>
    </chartFormat>
    <chartFormat chart="1" format="8">
      <pivotArea type="data" outline="0" fieldPosition="0">
        <references count="3">
          <reference field="4294967294" count="1" selected="0">
            <x v="0"/>
          </reference>
          <reference field="7" count="1" selected="0">
            <x v="1"/>
          </reference>
          <reference field="8" count="1" selected="0">
            <x v="1"/>
          </reference>
        </references>
      </pivotArea>
    </chartFormat>
    <chartFormat chart="1" format="9">
      <pivotArea type="data" outline="0" fieldPosition="0">
        <references count="3">
          <reference field="4294967294" count="1" selected="0">
            <x v="0"/>
          </reference>
          <reference field="7" count="1" selected="0">
            <x v="2"/>
          </reference>
          <reference field="8" count="1" selected="0">
            <x v="1"/>
          </reference>
        </references>
      </pivotArea>
    </chartFormat>
    <chartFormat chart="1" format="10">
      <pivotArea type="data" outline="0" fieldPosition="0">
        <references count="3">
          <reference field="4294967294" count="1" selected="0">
            <x v="0"/>
          </reference>
          <reference field="7" count="1" selected="0">
            <x v="3"/>
          </reference>
          <reference field="8" count="1" selected="0">
            <x v="1"/>
          </reference>
        </references>
      </pivotArea>
    </chartFormat>
    <chartFormat chart="1" format="11">
      <pivotArea type="data" outline="0" fieldPosition="0">
        <references count="3">
          <reference field="4294967294" count="1" selected="0">
            <x v="0"/>
          </reference>
          <reference field="7" count="1" selected="0">
            <x v="0"/>
          </reference>
          <reference field="8" count="1" selected="0">
            <x v="2"/>
          </reference>
        </references>
      </pivotArea>
    </chartFormat>
    <chartFormat chart="1" format="12">
      <pivotArea type="data" outline="0" fieldPosition="0">
        <references count="3">
          <reference field="4294967294" count="1" selected="0">
            <x v="0"/>
          </reference>
          <reference field="7" count="1" selected="0">
            <x v="1"/>
          </reference>
          <reference field="8" count="1" selected="0">
            <x v="2"/>
          </reference>
        </references>
      </pivotArea>
    </chartFormat>
    <chartFormat chart="1" format="13">
      <pivotArea type="data" outline="0" fieldPosition="0">
        <references count="3">
          <reference field="4294967294" count="1" selected="0">
            <x v="0"/>
          </reference>
          <reference field="7" count="1" selected="0">
            <x v="2"/>
          </reference>
          <reference field="8" count="1" selected="0">
            <x v="2"/>
          </reference>
        </references>
      </pivotArea>
    </chartFormat>
    <chartFormat chart="1" format="14">
      <pivotArea type="data" outline="0" fieldPosition="0">
        <references count="3">
          <reference field="4294967294" count="1" selected="0">
            <x v="0"/>
          </reference>
          <reference field="7" count="1" selected="0">
            <x v="3"/>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13" firstHeaderRow="0" firstDataRow="1" firstDataCol="1"/>
  <pivotFields count="9">
    <pivotField axis="axisRow" showAll="0" sortType="descending">
      <items count="110">
        <item x="61"/>
        <item x="70"/>
        <item x="62"/>
        <item x="76"/>
        <item x="71"/>
        <item x="19"/>
        <item x="79"/>
        <item x="45"/>
        <item x="84"/>
        <item x="85"/>
        <item x="102"/>
        <item x="97"/>
        <item x="108"/>
        <item x="12"/>
        <item x="63"/>
        <item x="35"/>
        <item x="60"/>
        <item x="13"/>
        <item x="20"/>
        <item x="48"/>
        <item x="7"/>
        <item x="21"/>
        <item x="36"/>
        <item x="22"/>
        <item x="52"/>
        <item x="2"/>
        <item x="95"/>
        <item x="77"/>
        <item x="80"/>
        <item x="81"/>
        <item x="67"/>
        <item x="0"/>
        <item x="37"/>
        <item x="74"/>
        <item x="38"/>
        <item x="23"/>
        <item x="53"/>
        <item x="56"/>
        <item x="46"/>
        <item x="24"/>
        <item x="11"/>
        <item x="47"/>
        <item x="25"/>
        <item x="54"/>
        <item x="26"/>
        <item x="39"/>
        <item x="14"/>
        <item x="27"/>
        <item x="28"/>
        <item x="72"/>
        <item x="15"/>
        <item x="31"/>
        <item x="8"/>
        <item x="1"/>
        <item x="99"/>
        <item x="57"/>
        <item x="65"/>
        <item x="59"/>
        <item x="40"/>
        <item x="68"/>
        <item x="9"/>
        <item x="86"/>
        <item x="90"/>
        <item x="29"/>
        <item x="10"/>
        <item x="89"/>
        <item x="78"/>
        <item x="5"/>
        <item x="30"/>
        <item x="55"/>
        <item x="3"/>
        <item x="64"/>
        <item x="32"/>
        <item x="69"/>
        <item x="73"/>
        <item x="91"/>
        <item x="42"/>
        <item x="41"/>
        <item x="100"/>
        <item x="16"/>
        <item x="101"/>
        <item x="75"/>
        <item x="49"/>
        <item x="43"/>
        <item x="6"/>
        <item x="93"/>
        <item x="96"/>
        <item x="44"/>
        <item x="103"/>
        <item x="87"/>
        <item x="82"/>
        <item x="83"/>
        <item x="104"/>
        <item x="92"/>
        <item x="33"/>
        <item x="58"/>
        <item x="34"/>
        <item x="105"/>
        <item x="106"/>
        <item x="4"/>
        <item x="107"/>
        <item x="88"/>
        <item x="17"/>
        <item x="98"/>
        <item x="18"/>
        <item x="94"/>
        <item x="50"/>
        <item x="66"/>
        <item x="51"/>
        <item t="default"/>
      </items>
      <autoSortScope>
        <pivotArea dataOnly="0" outline="0" fieldPosition="0">
          <references count="1">
            <reference field="4294967294" count="1" selected="0">
              <x v="1"/>
            </reference>
          </references>
        </pivotArea>
      </autoSortScope>
    </pivotField>
    <pivotField dataField="1" numFmtId="1" showAll="0"/>
    <pivotField numFmtId="1" showAll="0"/>
    <pivotField numFmtId="1" showAll="0"/>
    <pivotField numFmtId="9" showAll="0"/>
    <pivotField showAll="0"/>
    <pivotField dataField="1" showAll="0"/>
    <pivotField showAll="0"/>
    <pivotField showAll="0"/>
  </pivotFields>
  <rowFields count="1">
    <field x="0"/>
  </rowFields>
  <rowItems count="110">
    <i>
      <x v="52"/>
    </i>
    <i>
      <x v="68"/>
    </i>
    <i>
      <x v="65"/>
    </i>
    <i>
      <x v="40"/>
    </i>
    <i>
      <x v="87"/>
    </i>
    <i>
      <x v="44"/>
    </i>
    <i>
      <x v="57"/>
    </i>
    <i>
      <x v="22"/>
    </i>
    <i>
      <x v="90"/>
    </i>
    <i>
      <x v="70"/>
    </i>
    <i>
      <x v="4"/>
    </i>
    <i>
      <x v="1"/>
    </i>
    <i>
      <x v="29"/>
    </i>
    <i>
      <x v="107"/>
    </i>
    <i>
      <x v="8"/>
    </i>
    <i>
      <x v="75"/>
    </i>
    <i>
      <x v="18"/>
    </i>
    <i>
      <x v="91"/>
    </i>
    <i>
      <x v="59"/>
    </i>
    <i>
      <x v="28"/>
    </i>
    <i>
      <x v="69"/>
    </i>
    <i>
      <x/>
    </i>
    <i>
      <x v="2"/>
    </i>
    <i>
      <x v="61"/>
    </i>
    <i>
      <x v="72"/>
    </i>
    <i>
      <x v="95"/>
    </i>
    <i>
      <x v="67"/>
    </i>
    <i>
      <x v="60"/>
    </i>
    <i>
      <x v="81"/>
    </i>
    <i>
      <x v="77"/>
    </i>
    <i>
      <x v="27"/>
    </i>
    <i>
      <x v="62"/>
    </i>
    <i>
      <x v="56"/>
    </i>
    <i>
      <x v="63"/>
    </i>
    <i>
      <x v="11"/>
    </i>
    <i>
      <x v="73"/>
    </i>
    <i>
      <x v="7"/>
    </i>
    <i>
      <x v="93"/>
    </i>
    <i>
      <x v="3"/>
    </i>
    <i>
      <x v="20"/>
    </i>
    <i>
      <x v="84"/>
    </i>
    <i>
      <x v="66"/>
    </i>
    <i>
      <x v="16"/>
    </i>
    <i>
      <x v="76"/>
    </i>
    <i>
      <x v="108"/>
    </i>
    <i>
      <x v="101"/>
    </i>
    <i>
      <x v="5"/>
    </i>
    <i>
      <x v="64"/>
    </i>
    <i>
      <x v="38"/>
    </i>
    <i>
      <x v="26"/>
    </i>
    <i>
      <x v="106"/>
    </i>
    <i>
      <x v="17"/>
    </i>
    <i>
      <x v="41"/>
    </i>
    <i>
      <x v="34"/>
    </i>
    <i>
      <x v="58"/>
    </i>
    <i>
      <x v="25"/>
    </i>
    <i>
      <x v="104"/>
    </i>
    <i>
      <x v="88"/>
    </i>
    <i>
      <x v="80"/>
    </i>
    <i>
      <x v="21"/>
    </i>
    <i>
      <x v="55"/>
    </i>
    <i>
      <x v="39"/>
    </i>
    <i>
      <x v="47"/>
    </i>
    <i>
      <x v="92"/>
    </i>
    <i>
      <x v="23"/>
    </i>
    <i>
      <x v="19"/>
    </i>
    <i>
      <x v="24"/>
    </i>
    <i>
      <x v="82"/>
    </i>
    <i>
      <x v="10"/>
    </i>
    <i>
      <x v="86"/>
    </i>
    <i>
      <x v="48"/>
    </i>
    <i>
      <x v="46"/>
    </i>
    <i>
      <x v="49"/>
    </i>
    <i>
      <x v="94"/>
    </i>
    <i>
      <x v="12"/>
    </i>
    <i>
      <x v="9"/>
    </i>
    <i>
      <x v="13"/>
    </i>
    <i>
      <x v="79"/>
    </i>
    <i>
      <x v="14"/>
    </i>
    <i>
      <x v="51"/>
    </i>
    <i>
      <x v="30"/>
    </i>
    <i>
      <x v="83"/>
    </i>
    <i>
      <x v="31"/>
    </i>
    <i>
      <x v="85"/>
    </i>
    <i>
      <x v="32"/>
    </i>
    <i>
      <x v="15"/>
    </i>
    <i>
      <x v="71"/>
    </i>
    <i>
      <x v="89"/>
    </i>
    <i>
      <x v="33"/>
    </i>
    <i>
      <x v="42"/>
    </i>
    <i>
      <x v="103"/>
    </i>
    <i>
      <x v="43"/>
    </i>
    <i>
      <x v="96"/>
    </i>
    <i>
      <x v="6"/>
    </i>
    <i>
      <x v="97"/>
    </i>
    <i>
      <x v="99"/>
    </i>
    <i>
      <x v="98"/>
    </i>
    <i>
      <x v="50"/>
    </i>
    <i>
      <x v="100"/>
    </i>
    <i>
      <x v="36"/>
    </i>
    <i>
      <x v="102"/>
    </i>
    <i>
      <x v="37"/>
    </i>
    <i>
      <x v="78"/>
    </i>
    <i>
      <x v="105"/>
    </i>
    <i>
      <x v="74"/>
    </i>
    <i>
      <x v="45"/>
    </i>
    <i>
      <x v="35"/>
    </i>
    <i>
      <x v="53"/>
    </i>
    <i>
      <x v="54"/>
    </i>
    <i t="grand">
      <x/>
    </i>
  </rowItems>
  <colFields count="1">
    <field x="-2"/>
  </colFields>
  <colItems count="2">
    <i>
      <x/>
    </i>
    <i i="1">
      <x v="1"/>
    </i>
  </colItems>
  <dataFields count="2">
    <dataField name="Average of Current price" fld="1" subtotal="average" baseField="0" baseItem="52"/>
    <dataField name="Max of Rating"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2" name="PivotTable1"/>
    <pivotTable tabId="13" name="PivotTable2"/>
    <pivotTable tabId="8" name="PivotTable5"/>
    <pivotTable tabId="6" name="PivotTable3"/>
    <pivotTable tabId="7" name="PivotTable4"/>
    <pivotTable tabId="11" name="PivotTable6"/>
    <pivotTable tabId="5" name="PivotTable2"/>
  </pivotTables>
  <data>
    <tabular pivotCacheId="1">
      <items count="109">
        <i x="61" s="1"/>
        <i x="3" s="1"/>
        <i x="70" s="1"/>
        <i x="62" s="1"/>
        <i x="76" s="1"/>
        <i x="71" s="1"/>
        <i x="19" s="1"/>
        <i x="79" s="1"/>
        <i x="45" s="1"/>
        <i x="84" s="1"/>
        <i x="85" s="1"/>
        <i x="102" s="1"/>
        <i x="97" s="1"/>
        <i x="108" s="1"/>
        <i x="12" s="1"/>
        <i x="63" s="1"/>
        <i x="35" s="1"/>
        <i x="60" s="1"/>
        <i x="13" s="1"/>
        <i x="20" s="1"/>
        <i x="48" s="1"/>
        <i x="7" s="1"/>
        <i x="21" s="1"/>
        <i x="36" s="1"/>
        <i x="22" s="1"/>
        <i x="52" s="1"/>
        <i x="2" s="1"/>
        <i x="95" s="1"/>
        <i x="77" s="1"/>
        <i x="80" s="1"/>
        <i x="81" s="1"/>
        <i x="67" s="1"/>
        <i x="0" s="1"/>
        <i x="37" s="1"/>
        <i x="74" s="1"/>
        <i x="38" s="1"/>
        <i x="23" s="1"/>
        <i x="53" s="1"/>
        <i x="56" s="1"/>
        <i x="46" s="1"/>
        <i x="24" s="1"/>
        <i x="11" s="1"/>
        <i x="47" s="1"/>
        <i x="25" s="1"/>
        <i x="54" s="1"/>
        <i x="26" s="1"/>
        <i x="39" s="1"/>
        <i x="14" s="1"/>
        <i x="27" s="1"/>
        <i x="28" s="1"/>
        <i x="72" s="1"/>
        <i x="15" s="1"/>
        <i x="31" s="1"/>
        <i x="8" s="1"/>
        <i x="1" s="1"/>
        <i x="99" s="1"/>
        <i x="57" s="1"/>
        <i x="65" s="1"/>
        <i x="59" s="1"/>
        <i x="40" s="1"/>
        <i x="68" s="1"/>
        <i x="9" s="1"/>
        <i x="86" s="1"/>
        <i x="90" s="1"/>
        <i x="29" s="1"/>
        <i x="10" s="1"/>
        <i x="89" s="1"/>
        <i x="78" s="1"/>
        <i x="5" s="1"/>
        <i x="30" s="1"/>
        <i x="55" s="1"/>
        <i x="64" s="1"/>
        <i x="32" s="1"/>
        <i x="69" s="1"/>
        <i x="73" s="1"/>
        <i x="91" s="1"/>
        <i x="42" s="1"/>
        <i x="41" s="1"/>
        <i x="100" s="1"/>
        <i x="16" s="1"/>
        <i x="101" s="1"/>
        <i x="75" s="1"/>
        <i x="49" s="1"/>
        <i x="43" s="1"/>
        <i x="6" s="1"/>
        <i x="93" s="1"/>
        <i x="96" s="1"/>
        <i x="44" s="1"/>
        <i x="103" s="1"/>
        <i x="87" s="1"/>
        <i x="82" s="1"/>
        <i x="83" s="1"/>
        <i x="104" s="1"/>
        <i x="92" s="1"/>
        <i x="33" s="1"/>
        <i x="58" s="1"/>
        <i x="34" s="1"/>
        <i x="105" s="1"/>
        <i x="106" s="1"/>
        <i x="4" s="1"/>
        <i x="107" s="1"/>
        <i x="88" s="1"/>
        <i x="17" s="1"/>
        <i x="98" s="1"/>
        <i x="18" s="1"/>
        <i x="94" s="1"/>
        <i x="50" s="1"/>
        <i x="66"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12" name="PivotTable1"/>
  </pivotTables>
  <data>
    <tabular pivotCacheId="1">
      <items count="23">
        <i x="9" s="1"/>
        <i x="1" s="1"/>
        <i x="13" s="1"/>
        <i x="8" s="1"/>
        <i x="22" s="1"/>
        <i x="16" s="1"/>
        <i x="7" s="1"/>
        <i x="10" s="1"/>
        <i x="21" s="1"/>
        <i x="4" s="1"/>
        <i x="5" s="1"/>
        <i x="15" s="1"/>
        <i x="12" s="1"/>
        <i x="14" s="1"/>
        <i x="19" s="1"/>
        <i x="3" s="1"/>
        <i x="20" s="1"/>
        <i x="17" s="1"/>
        <i x="11" s="1"/>
        <i x="18" s="1"/>
        <i x="2"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_by_Discount" sourceName="Category by Discount">
  <pivotTables>
    <pivotTable tabId="12"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Rating" cache="Slicer_Rating" caption="Rating" rowHeight="241300"/>
  <slicer name="Category by Discount" cache="Slicer_Category_by_Discount" caption="Category by Disc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 caption="Product" rowHeight="241300"/>
  <slicer name="Rating 1" cache="Slicer_Rating" caption="Rating" rowHeight="241300"/>
  <slicer name="Category by Discount 1" cache="Slicer_Category_by_Discount" caption="Category by Discou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6" sqref="A6"/>
    </sheetView>
  </sheetViews>
  <sheetFormatPr defaultRowHeight="15" x14ac:dyDescent="0.25"/>
  <cols>
    <col min="1" max="1" width="69.85546875" customWidth="1"/>
    <col min="2" max="2" width="13.28515625" bestFit="1" customWidth="1"/>
  </cols>
  <sheetData>
    <row r="3" spans="1:2" x14ac:dyDescent="0.25">
      <c r="A3" s="5" t="s">
        <v>124</v>
      </c>
      <c r="B3" t="s">
        <v>128</v>
      </c>
    </row>
    <row r="4" spans="1:2" x14ac:dyDescent="0.25">
      <c r="A4" s="6" t="s">
        <v>99</v>
      </c>
      <c r="B4" s="7">
        <v>5</v>
      </c>
    </row>
    <row r="5" spans="1:2" x14ac:dyDescent="0.25">
      <c r="A5" s="6" t="s">
        <v>97</v>
      </c>
      <c r="B5" s="7">
        <v>5</v>
      </c>
    </row>
    <row r="6" spans="1:2" x14ac:dyDescent="0.25">
      <c r="A6" s="6" t="s">
        <v>101</v>
      </c>
      <c r="B6" s="7">
        <v>5</v>
      </c>
    </row>
    <row r="7" spans="1:2" x14ac:dyDescent="0.25">
      <c r="A7" s="6" t="s">
        <v>100</v>
      </c>
      <c r="B7" s="7">
        <v>5</v>
      </c>
    </row>
    <row r="8" spans="1:2" x14ac:dyDescent="0.25">
      <c r="A8" s="6" t="s">
        <v>15</v>
      </c>
      <c r="B8" s="7">
        <v>5</v>
      </c>
    </row>
    <row r="9" spans="1:2" x14ac:dyDescent="0.25">
      <c r="A9" s="6" t="s">
        <v>28</v>
      </c>
      <c r="B9" s="7">
        <v>5</v>
      </c>
    </row>
    <row r="10" spans="1:2" x14ac:dyDescent="0.25">
      <c r="A10" s="6" t="s">
        <v>27</v>
      </c>
      <c r="B10" s="7">
        <v>5</v>
      </c>
    </row>
    <row r="11" spans="1:2" x14ac:dyDescent="0.25">
      <c r="A11" s="6" t="s">
        <v>125</v>
      </c>
      <c r="B11" s="7">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3"/>
  <sheetViews>
    <sheetView topLeftCell="A57" workbookViewId="0">
      <selection activeCell="A63" sqref="A4:A112"/>
      <pivotSelection pane="bottomRight" showHeader="1" axis="axisRow" activeRow="62" previousRow="62" click="1" r:id="rId1">
        <pivotArea dataOnly="0" labelOnly="1" fieldPosition="0">
          <references count="1">
            <reference field="0" count="0"/>
          </references>
        </pivotArea>
      </pivotSelection>
    </sheetView>
  </sheetViews>
  <sheetFormatPr defaultRowHeight="15" x14ac:dyDescent="0.25"/>
  <cols>
    <col min="1" max="1" width="95.7109375" bestFit="1" customWidth="1"/>
    <col min="2" max="2" width="12.85546875" bestFit="1" customWidth="1"/>
  </cols>
  <sheetData>
    <row r="3" spans="1:2" x14ac:dyDescent="0.25">
      <c r="A3" s="5" t="s">
        <v>124</v>
      </c>
      <c r="B3" t="s">
        <v>134</v>
      </c>
    </row>
    <row r="4" spans="1:2" x14ac:dyDescent="0.25">
      <c r="A4" s="6" t="s">
        <v>55</v>
      </c>
      <c r="B4" s="7"/>
    </row>
    <row r="5" spans="1:2" x14ac:dyDescent="0.25">
      <c r="A5" s="6" t="s">
        <v>34</v>
      </c>
      <c r="B5" s="7"/>
    </row>
    <row r="6" spans="1:2" x14ac:dyDescent="0.25">
      <c r="A6" s="6" t="s">
        <v>35</v>
      </c>
      <c r="B6" s="7"/>
    </row>
    <row r="7" spans="1:2" x14ac:dyDescent="0.25">
      <c r="A7" s="6" t="s">
        <v>32</v>
      </c>
      <c r="B7" s="7"/>
    </row>
    <row r="8" spans="1:2" x14ac:dyDescent="0.25">
      <c r="A8" s="6" t="s">
        <v>104</v>
      </c>
      <c r="B8" s="7"/>
    </row>
    <row r="9" spans="1:2" x14ac:dyDescent="0.25">
      <c r="A9" s="6" t="s">
        <v>61</v>
      </c>
      <c r="B9" s="7"/>
    </row>
    <row r="10" spans="1:2" x14ac:dyDescent="0.25">
      <c r="A10" s="6" t="s">
        <v>67</v>
      </c>
      <c r="B10" s="7"/>
    </row>
    <row r="11" spans="1:2" x14ac:dyDescent="0.25">
      <c r="A11" s="6" t="s">
        <v>75</v>
      </c>
      <c r="B11" s="7"/>
    </row>
    <row r="12" spans="1:2" x14ac:dyDescent="0.25">
      <c r="A12" s="6" t="s">
        <v>105</v>
      </c>
      <c r="B12" s="7"/>
    </row>
    <row r="13" spans="1:2" x14ac:dyDescent="0.25">
      <c r="A13" s="6" t="s">
        <v>31</v>
      </c>
      <c r="B13" s="7"/>
    </row>
    <row r="14" spans="1:2" x14ac:dyDescent="0.25">
      <c r="A14" s="6" t="s">
        <v>33</v>
      </c>
      <c r="B14" s="7"/>
    </row>
    <row r="15" spans="1:2" x14ac:dyDescent="0.25">
      <c r="A15" s="6" t="s">
        <v>40</v>
      </c>
      <c r="B15" s="7"/>
    </row>
    <row r="16" spans="1:2" x14ac:dyDescent="0.25">
      <c r="A16" s="6" t="s">
        <v>54</v>
      </c>
      <c r="B16" s="7"/>
    </row>
    <row r="17" spans="1:2" x14ac:dyDescent="0.25">
      <c r="A17" s="6" t="s">
        <v>38</v>
      </c>
      <c r="B17" s="7"/>
    </row>
    <row r="18" spans="1:2" x14ac:dyDescent="0.25">
      <c r="A18" s="6" t="s">
        <v>107</v>
      </c>
      <c r="B18" s="7"/>
    </row>
    <row r="19" spans="1:2" x14ac:dyDescent="0.25">
      <c r="A19" s="6" t="s">
        <v>109</v>
      </c>
      <c r="B19" s="7"/>
    </row>
    <row r="20" spans="1:2" x14ac:dyDescent="0.25">
      <c r="A20" s="6" t="s">
        <v>57</v>
      </c>
      <c r="B20" s="7"/>
    </row>
    <row r="21" spans="1:2" x14ac:dyDescent="0.25">
      <c r="A21" s="6" t="s">
        <v>110</v>
      </c>
      <c r="B21" s="7"/>
    </row>
    <row r="22" spans="1:2" x14ac:dyDescent="0.25">
      <c r="A22" s="6" t="s">
        <v>66</v>
      </c>
      <c r="B22" s="7"/>
    </row>
    <row r="23" spans="1:2" x14ac:dyDescent="0.25">
      <c r="A23" s="6" t="s">
        <v>70</v>
      </c>
      <c r="B23" s="7"/>
    </row>
    <row r="24" spans="1:2" x14ac:dyDescent="0.25">
      <c r="A24" s="6" t="s">
        <v>56</v>
      </c>
      <c r="B24" s="7"/>
    </row>
    <row r="25" spans="1:2" x14ac:dyDescent="0.25">
      <c r="A25" s="6" t="s">
        <v>111</v>
      </c>
      <c r="B25" s="7"/>
    </row>
    <row r="26" spans="1:2" x14ac:dyDescent="0.25">
      <c r="A26" s="6" t="s">
        <v>73</v>
      </c>
      <c r="B26" s="7"/>
    </row>
    <row r="27" spans="1:2" x14ac:dyDescent="0.25">
      <c r="A27" s="6" t="s">
        <v>113</v>
      </c>
      <c r="B27" s="7"/>
    </row>
    <row r="28" spans="1:2" x14ac:dyDescent="0.25">
      <c r="A28" s="6" t="s">
        <v>71</v>
      </c>
      <c r="B28" s="7"/>
    </row>
    <row r="29" spans="1:2" x14ac:dyDescent="0.25">
      <c r="A29" s="6" t="s">
        <v>62</v>
      </c>
      <c r="B29" s="7"/>
    </row>
    <row r="30" spans="1:2" x14ac:dyDescent="0.25">
      <c r="A30" s="6" t="s">
        <v>79</v>
      </c>
      <c r="B30" s="7"/>
    </row>
    <row r="31" spans="1:2" x14ac:dyDescent="0.25">
      <c r="A31" s="6" t="s">
        <v>112</v>
      </c>
      <c r="B31" s="7"/>
    </row>
    <row r="32" spans="1:2" x14ac:dyDescent="0.25">
      <c r="A32" s="6" t="s">
        <v>74</v>
      </c>
      <c r="B32" s="7"/>
    </row>
    <row r="33" spans="1:2" x14ac:dyDescent="0.25">
      <c r="A33" s="6" t="s">
        <v>60</v>
      </c>
      <c r="B33" s="7"/>
    </row>
    <row r="34" spans="1:2" x14ac:dyDescent="0.25">
      <c r="A34" s="6" t="s">
        <v>106</v>
      </c>
      <c r="B34" s="7"/>
    </row>
    <row r="35" spans="1:2" x14ac:dyDescent="0.25">
      <c r="A35" s="6" t="s">
        <v>114</v>
      </c>
      <c r="B35" s="7"/>
    </row>
    <row r="36" spans="1:2" x14ac:dyDescent="0.25">
      <c r="A36" s="6" t="s">
        <v>69</v>
      </c>
      <c r="B36" s="7"/>
    </row>
    <row r="37" spans="1:2" x14ac:dyDescent="0.25">
      <c r="A37" s="6" t="s">
        <v>36</v>
      </c>
      <c r="B37" s="7"/>
    </row>
    <row r="38" spans="1:2" x14ac:dyDescent="0.25">
      <c r="A38" s="6" t="s">
        <v>78</v>
      </c>
      <c r="B38" s="7"/>
    </row>
    <row r="39" spans="1:2" x14ac:dyDescent="0.25">
      <c r="A39" s="6" t="s">
        <v>37</v>
      </c>
      <c r="B39" s="7"/>
    </row>
    <row r="40" spans="1:2" x14ac:dyDescent="0.25">
      <c r="A40" s="6" t="s">
        <v>72</v>
      </c>
      <c r="B40" s="7"/>
    </row>
    <row r="41" spans="1:2" x14ac:dyDescent="0.25">
      <c r="A41" s="6" t="s">
        <v>68</v>
      </c>
      <c r="B41" s="7"/>
    </row>
    <row r="42" spans="1:2" x14ac:dyDescent="0.25">
      <c r="A42" s="6" t="s">
        <v>29</v>
      </c>
      <c r="B42" s="7"/>
    </row>
    <row r="43" spans="1:2" x14ac:dyDescent="0.25">
      <c r="A43" s="6" t="s">
        <v>64</v>
      </c>
      <c r="B43" s="7"/>
    </row>
    <row r="44" spans="1:2" x14ac:dyDescent="0.25">
      <c r="A44" s="6" t="s">
        <v>58</v>
      </c>
      <c r="B44" s="7"/>
    </row>
    <row r="45" spans="1:2" x14ac:dyDescent="0.25">
      <c r="A45" s="6" t="s">
        <v>65</v>
      </c>
      <c r="B45" s="7"/>
    </row>
    <row r="46" spans="1:2" x14ac:dyDescent="0.25">
      <c r="A46" s="6" t="s">
        <v>19</v>
      </c>
      <c r="B46" s="7"/>
    </row>
    <row r="47" spans="1:2" x14ac:dyDescent="0.25">
      <c r="A47" s="6" t="s">
        <v>30</v>
      </c>
      <c r="B47" s="7"/>
    </row>
    <row r="48" spans="1:2" x14ac:dyDescent="0.25">
      <c r="A48" s="6" t="s">
        <v>41</v>
      </c>
      <c r="B48" s="7"/>
    </row>
    <row r="49" spans="1:2" x14ac:dyDescent="0.25">
      <c r="A49" s="6" t="s">
        <v>76</v>
      </c>
      <c r="B49" s="7"/>
    </row>
    <row r="50" spans="1:2" x14ac:dyDescent="0.25">
      <c r="A50" s="6" t="s">
        <v>53</v>
      </c>
      <c r="B50" s="7"/>
    </row>
    <row r="51" spans="1:2" x14ac:dyDescent="0.25">
      <c r="A51" s="6" t="s">
        <v>39</v>
      </c>
      <c r="B51" s="7"/>
    </row>
    <row r="52" spans="1:2" x14ac:dyDescent="0.25">
      <c r="A52" s="6" t="s">
        <v>115</v>
      </c>
      <c r="B52" s="7"/>
    </row>
    <row r="53" spans="1:2" x14ac:dyDescent="0.25">
      <c r="A53" s="6" t="s">
        <v>77</v>
      </c>
      <c r="B53" s="7"/>
    </row>
    <row r="54" spans="1:2" x14ac:dyDescent="0.25">
      <c r="A54" s="6" t="s">
        <v>108</v>
      </c>
      <c r="B54" s="7"/>
    </row>
    <row r="55" spans="1:2" x14ac:dyDescent="0.25">
      <c r="A55" s="6" t="s">
        <v>63</v>
      </c>
      <c r="B55" s="7"/>
    </row>
    <row r="56" spans="1:2" x14ac:dyDescent="0.25">
      <c r="A56" s="6" t="s">
        <v>103</v>
      </c>
      <c r="B56" s="7">
        <v>2</v>
      </c>
    </row>
    <row r="57" spans="1:2" x14ac:dyDescent="0.25">
      <c r="A57" s="6" t="s">
        <v>91</v>
      </c>
      <c r="B57" s="7">
        <v>2.1</v>
      </c>
    </row>
    <row r="58" spans="1:2" x14ac:dyDescent="0.25">
      <c r="A58" s="6" t="s">
        <v>88</v>
      </c>
      <c r="B58" s="7">
        <v>2.1</v>
      </c>
    </row>
    <row r="59" spans="1:2" x14ac:dyDescent="0.25">
      <c r="A59" s="6" t="s">
        <v>47</v>
      </c>
      <c r="B59" s="7">
        <v>2.2000000000000002</v>
      </c>
    </row>
    <row r="60" spans="1:2" x14ac:dyDescent="0.25">
      <c r="A60" s="6" t="s">
        <v>93</v>
      </c>
      <c r="B60" s="7">
        <v>2.2000000000000002</v>
      </c>
    </row>
    <row r="61" spans="1:2" x14ac:dyDescent="0.25">
      <c r="A61" s="6" t="s">
        <v>51</v>
      </c>
      <c r="B61" s="7">
        <v>2.2999999999999998</v>
      </c>
    </row>
    <row r="62" spans="1:2" x14ac:dyDescent="0.25">
      <c r="A62" s="6" t="s">
        <v>48</v>
      </c>
      <c r="B62" s="7">
        <v>2.2999999999999998</v>
      </c>
    </row>
    <row r="63" spans="1:2" x14ac:dyDescent="0.25">
      <c r="A63" s="6" t="s">
        <v>42</v>
      </c>
      <c r="B63" s="7">
        <v>2.5</v>
      </c>
    </row>
    <row r="64" spans="1:2" x14ac:dyDescent="0.25">
      <c r="A64" s="6" t="s">
        <v>49</v>
      </c>
      <c r="B64" s="7">
        <v>2.6</v>
      </c>
    </row>
    <row r="65" spans="1:2" x14ac:dyDescent="0.25">
      <c r="A65" s="6" t="s">
        <v>45</v>
      </c>
      <c r="B65" s="7">
        <v>2.7</v>
      </c>
    </row>
    <row r="66" spans="1:2" x14ac:dyDescent="0.25">
      <c r="A66" s="6" t="s">
        <v>44</v>
      </c>
      <c r="B66" s="7">
        <v>2.8</v>
      </c>
    </row>
    <row r="67" spans="1:2" x14ac:dyDescent="0.25">
      <c r="A67" s="6" t="s">
        <v>46</v>
      </c>
      <c r="B67" s="7">
        <v>2.9</v>
      </c>
    </row>
    <row r="68" spans="1:2" x14ac:dyDescent="0.25">
      <c r="A68" s="6" t="s">
        <v>52</v>
      </c>
      <c r="B68" s="7">
        <v>3</v>
      </c>
    </row>
    <row r="69" spans="1:2" x14ac:dyDescent="0.25">
      <c r="A69" s="6" t="s">
        <v>95</v>
      </c>
      <c r="B69" s="7">
        <v>3</v>
      </c>
    </row>
    <row r="70" spans="1:2" x14ac:dyDescent="0.25">
      <c r="A70" s="6" t="s">
        <v>102</v>
      </c>
      <c r="B70" s="7">
        <v>3</v>
      </c>
    </row>
    <row r="71" spans="1:2" x14ac:dyDescent="0.25">
      <c r="A71" s="6" t="s">
        <v>43</v>
      </c>
      <c r="B71" s="7">
        <v>3</v>
      </c>
    </row>
    <row r="72" spans="1:2" x14ac:dyDescent="0.25">
      <c r="A72" s="6" t="s">
        <v>50</v>
      </c>
      <c r="B72" s="7">
        <v>3</v>
      </c>
    </row>
    <row r="73" spans="1:2" x14ac:dyDescent="0.25">
      <c r="A73" s="6" t="s">
        <v>18</v>
      </c>
      <c r="B73" s="7">
        <v>3.3</v>
      </c>
    </row>
    <row r="74" spans="1:2" x14ac:dyDescent="0.25">
      <c r="A74" s="6" t="s">
        <v>23</v>
      </c>
      <c r="B74" s="7">
        <v>3.8</v>
      </c>
    </row>
    <row r="75" spans="1:2" x14ac:dyDescent="0.25">
      <c r="A75" s="6" t="s">
        <v>9</v>
      </c>
      <c r="B75" s="7">
        <v>3.8</v>
      </c>
    </row>
    <row r="76" spans="1:2" x14ac:dyDescent="0.25">
      <c r="A76" s="6" t="s">
        <v>24</v>
      </c>
      <c r="B76" s="7">
        <v>3.8</v>
      </c>
    </row>
    <row r="77" spans="1:2" x14ac:dyDescent="0.25">
      <c r="A77" s="6" t="s">
        <v>94</v>
      </c>
      <c r="B77" s="7">
        <v>4</v>
      </c>
    </row>
    <row r="78" spans="1:2" x14ac:dyDescent="0.25">
      <c r="A78" s="6" t="s">
        <v>59</v>
      </c>
      <c r="B78" s="7">
        <v>4</v>
      </c>
    </row>
    <row r="79" spans="1:2" x14ac:dyDescent="0.25">
      <c r="A79" s="6" t="s">
        <v>7</v>
      </c>
      <c r="B79" s="7">
        <v>4</v>
      </c>
    </row>
    <row r="80" spans="1:2" x14ac:dyDescent="0.25">
      <c r="A80" s="6" t="s">
        <v>5</v>
      </c>
      <c r="B80" s="7">
        <v>4</v>
      </c>
    </row>
    <row r="81" spans="1:2" x14ac:dyDescent="0.25">
      <c r="A81" s="6" t="s">
        <v>25</v>
      </c>
      <c r="B81" s="7">
        <v>4.0999999999999996</v>
      </c>
    </row>
    <row r="82" spans="1:2" x14ac:dyDescent="0.25">
      <c r="A82" s="6" t="s">
        <v>10</v>
      </c>
      <c r="B82" s="7">
        <v>4.0999999999999996</v>
      </c>
    </row>
    <row r="83" spans="1:2" x14ac:dyDescent="0.25">
      <c r="A83" s="6" t="s">
        <v>87</v>
      </c>
      <c r="B83" s="7">
        <v>4.0999999999999996</v>
      </c>
    </row>
    <row r="84" spans="1:2" x14ac:dyDescent="0.25">
      <c r="A84" s="6" t="s">
        <v>14</v>
      </c>
      <c r="B84" s="7">
        <v>4.2</v>
      </c>
    </row>
    <row r="85" spans="1:2" x14ac:dyDescent="0.25">
      <c r="A85" s="6" t="s">
        <v>89</v>
      </c>
      <c r="B85" s="7">
        <v>4.3</v>
      </c>
    </row>
    <row r="86" spans="1:2" x14ac:dyDescent="0.25">
      <c r="A86" s="6" t="s">
        <v>83</v>
      </c>
      <c r="B86" s="7">
        <v>4.3</v>
      </c>
    </row>
    <row r="87" spans="1:2" x14ac:dyDescent="0.25">
      <c r="A87" s="6" t="s">
        <v>21</v>
      </c>
      <c r="B87" s="7">
        <v>4.3</v>
      </c>
    </row>
    <row r="88" spans="1:2" x14ac:dyDescent="0.25">
      <c r="A88" s="6" t="s">
        <v>90</v>
      </c>
      <c r="B88" s="7">
        <v>4.3</v>
      </c>
    </row>
    <row r="89" spans="1:2" x14ac:dyDescent="0.25">
      <c r="A89" s="6" t="s">
        <v>20</v>
      </c>
      <c r="B89" s="7">
        <v>4.4000000000000004</v>
      </c>
    </row>
    <row r="90" spans="1:2" x14ac:dyDescent="0.25">
      <c r="A90" s="6" t="s">
        <v>98</v>
      </c>
      <c r="B90" s="7">
        <v>4.5</v>
      </c>
    </row>
    <row r="91" spans="1:2" x14ac:dyDescent="0.25">
      <c r="A91" s="6" t="s">
        <v>13</v>
      </c>
      <c r="B91" s="7">
        <v>4.5</v>
      </c>
    </row>
    <row r="92" spans="1:2" x14ac:dyDescent="0.25">
      <c r="A92" s="6" t="s">
        <v>84</v>
      </c>
      <c r="B92" s="7">
        <v>4.5</v>
      </c>
    </row>
    <row r="93" spans="1:2" x14ac:dyDescent="0.25">
      <c r="A93" s="6" t="s">
        <v>4</v>
      </c>
      <c r="B93" s="7">
        <v>4.5</v>
      </c>
    </row>
    <row r="94" spans="1:2" x14ac:dyDescent="0.25">
      <c r="A94" s="6" t="s">
        <v>17</v>
      </c>
      <c r="B94" s="7">
        <v>4.5999999999999996</v>
      </c>
    </row>
    <row r="95" spans="1:2" x14ac:dyDescent="0.25">
      <c r="A95" s="6" t="s">
        <v>16</v>
      </c>
      <c r="B95" s="7">
        <v>4.5999999999999996</v>
      </c>
    </row>
    <row r="96" spans="1:2" x14ac:dyDescent="0.25">
      <c r="A96" s="6" t="s">
        <v>22</v>
      </c>
      <c r="B96" s="7">
        <v>4.5999999999999996</v>
      </c>
    </row>
    <row r="97" spans="1:2" x14ac:dyDescent="0.25">
      <c r="A97" s="6" t="s">
        <v>6</v>
      </c>
      <c r="B97" s="7">
        <v>4.5999999999999996</v>
      </c>
    </row>
    <row r="98" spans="1:2" x14ac:dyDescent="0.25">
      <c r="A98" s="6" t="s">
        <v>85</v>
      </c>
      <c r="B98" s="7">
        <v>4.5999999999999996</v>
      </c>
    </row>
    <row r="99" spans="1:2" x14ac:dyDescent="0.25">
      <c r="A99" s="6" t="s">
        <v>26</v>
      </c>
      <c r="B99" s="7">
        <v>4.7</v>
      </c>
    </row>
    <row r="100" spans="1:2" x14ac:dyDescent="0.25">
      <c r="A100" s="6" t="s">
        <v>86</v>
      </c>
      <c r="B100" s="7">
        <v>4.7</v>
      </c>
    </row>
    <row r="101" spans="1:2" x14ac:dyDescent="0.25">
      <c r="A101" s="6" t="s">
        <v>11</v>
      </c>
      <c r="B101" s="7">
        <v>4.7</v>
      </c>
    </row>
    <row r="102" spans="1:2" x14ac:dyDescent="0.25">
      <c r="A102" s="6" t="s">
        <v>92</v>
      </c>
      <c r="B102" s="7">
        <v>4.7</v>
      </c>
    </row>
    <row r="103" spans="1:2" x14ac:dyDescent="0.25">
      <c r="A103" s="6" t="s">
        <v>8</v>
      </c>
      <c r="B103" s="7">
        <v>4.8</v>
      </c>
    </row>
    <row r="104" spans="1:2" x14ac:dyDescent="0.25">
      <c r="A104" s="6" t="s">
        <v>12</v>
      </c>
      <c r="B104" s="7">
        <v>4.8</v>
      </c>
    </row>
    <row r="105" spans="1:2" x14ac:dyDescent="0.25">
      <c r="A105" s="6" t="s">
        <v>96</v>
      </c>
      <c r="B105" s="7">
        <v>4.8</v>
      </c>
    </row>
    <row r="106" spans="1:2" x14ac:dyDescent="0.25">
      <c r="A106" s="6" t="s">
        <v>27</v>
      </c>
      <c r="B106" s="7">
        <v>5</v>
      </c>
    </row>
    <row r="107" spans="1:2" x14ac:dyDescent="0.25">
      <c r="A107" s="6" t="s">
        <v>28</v>
      </c>
      <c r="B107" s="7">
        <v>5</v>
      </c>
    </row>
    <row r="108" spans="1:2" x14ac:dyDescent="0.25">
      <c r="A108" s="6" t="s">
        <v>99</v>
      </c>
      <c r="B108" s="7">
        <v>5</v>
      </c>
    </row>
    <row r="109" spans="1:2" x14ac:dyDescent="0.25">
      <c r="A109" s="6" t="s">
        <v>101</v>
      </c>
      <c r="B109" s="7">
        <v>5</v>
      </c>
    </row>
    <row r="110" spans="1:2" x14ac:dyDescent="0.25">
      <c r="A110" s="6" t="s">
        <v>15</v>
      </c>
      <c r="B110" s="7">
        <v>5</v>
      </c>
    </row>
    <row r="111" spans="1:2" x14ac:dyDescent="0.25">
      <c r="A111" s="6" t="s">
        <v>100</v>
      </c>
      <c r="B111" s="7">
        <v>5</v>
      </c>
    </row>
    <row r="112" spans="1:2" x14ac:dyDescent="0.25">
      <c r="A112" s="6" t="s">
        <v>97</v>
      </c>
      <c r="B112" s="7">
        <v>5</v>
      </c>
    </row>
    <row r="113" spans="1:2" x14ac:dyDescent="0.25">
      <c r="A113" s="6" t="s">
        <v>125</v>
      </c>
      <c r="B113" s="7">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6" sqref="A6"/>
    </sheetView>
  </sheetViews>
  <sheetFormatPr defaultRowHeight="15" x14ac:dyDescent="0.25"/>
  <cols>
    <col min="1" max="1" width="76.5703125" customWidth="1"/>
    <col min="2" max="2" width="17.5703125" bestFit="1" customWidth="1"/>
  </cols>
  <sheetData>
    <row r="3" spans="1:2" x14ac:dyDescent="0.25">
      <c r="A3" s="5" t="s">
        <v>124</v>
      </c>
      <c r="B3" t="s">
        <v>129</v>
      </c>
    </row>
    <row r="4" spans="1:2" x14ac:dyDescent="0.25">
      <c r="A4" s="6" t="s">
        <v>55</v>
      </c>
      <c r="B4" s="7">
        <v>0.04</v>
      </c>
    </row>
    <row r="5" spans="1:2" x14ac:dyDescent="0.25">
      <c r="A5" s="6" t="s">
        <v>70</v>
      </c>
      <c r="B5" s="7">
        <v>0.04</v>
      </c>
    </row>
    <row r="6" spans="1:2" x14ac:dyDescent="0.25">
      <c r="A6" s="6" t="s">
        <v>113</v>
      </c>
      <c r="B6" s="7">
        <v>0.03</v>
      </c>
    </row>
    <row r="7" spans="1:2" x14ac:dyDescent="0.25">
      <c r="A7" s="6" t="s">
        <v>30</v>
      </c>
      <c r="B7" s="7">
        <v>0.02</v>
      </c>
    </row>
    <row r="8" spans="1:2" x14ac:dyDescent="0.25">
      <c r="A8" s="6" t="s">
        <v>77</v>
      </c>
      <c r="B8" s="7">
        <v>0.02</v>
      </c>
    </row>
    <row r="9" spans="1:2" x14ac:dyDescent="0.25">
      <c r="A9" s="6" t="s">
        <v>76</v>
      </c>
      <c r="B9" s="7">
        <v>0.02</v>
      </c>
    </row>
    <row r="10" spans="1:2" x14ac:dyDescent="0.25">
      <c r="A10" s="6" t="s">
        <v>58</v>
      </c>
      <c r="B10" s="7">
        <v>0.02</v>
      </c>
    </row>
    <row r="11" spans="1:2" x14ac:dyDescent="0.25">
      <c r="A11" s="6" t="s">
        <v>36</v>
      </c>
      <c r="B11" s="7">
        <v>0.02</v>
      </c>
    </row>
    <row r="12" spans="1:2" x14ac:dyDescent="0.25">
      <c r="A12" s="6" t="s">
        <v>68</v>
      </c>
      <c r="B12" s="7">
        <v>0.02</v>
      </c>
    </row>
    <row r="13" spans="1:2" x14ac:dyDescent="0.25">
      <c r="A13" s="6" t="s">
        <v>105</v>
      </c>
      <c r="B13" s="7">
        <v>0.01</v>
      </c>
    </row>
    <row r="14" spans="1:2" x14ac:dyDescent="0.25">
      <c r="A14" s="6" t="s">
        <v>125</v>
      </c>
      <c r="B14" s="7">
        <v>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6" sqref="A4:A13"/>
      <pivotSelection pane="bottomRight" showHeader="1" activeRow="5" click="1" r:id="rId1">
        <pivotArea dataOnly="0" labelOnly="1" fieldPosition="0">
          <references count="1">
            <reference field="0" count="0"/>
          </references>
        </pivotArea>
      </pivotSelection>
    </sheetView>
  </sheetViews>
  <sheetFormatPr defaultRowHeight="15" x14ac:dyDescent="0.25"/>
  <cols>
    <col min="1" max="1" width="65.42578125" customWidth="1"/>
    <col min="2" max="2" width="14.28515625" bestFit="1" customWidth="1"/>
    <col min="3" max="3" width="15.7109375" bestFit="1" customWidth="1"/>
  </cols>
  <sheetData>
    <row r="3" spans="1:2" x14ac:dyDescent="0.25">
      <c r="A3" s="5" t="s">
        <v>124</v>
      </c>
      <c r="B3" t="s">
        <v>130</v>
      </c>
    </row>
    <row r="4" spans="1:2" x14ac:dyDescent="0.25">
      <c r="A4" s="6" t="s">
        <v>44</v>
      </c>
      <c r="B4" s="7">
        <v>69</v>
      </c>
    </row>
    <row r="5" spans="1:2" x14ac:dyDescent="0.25">
      <c r="A5" s="6" t="s">
        <v>6</v>
      </c>
      <c r="B5" s="7">
        <v>55</v>
      </c>
    </row>
    <row r="6" spans="1:2" x14ac:dyDescent="0.25">
      <c r="A6" s="6" t="s">
        <v>22</v>
      </c>
      <c r="B6" s="7">
        <v>49</v>
      </c>
    </row>
    <row r="7" spans="1:2" x14ac:dyDescent="0.25">
      <c r="A7" s="6" t="s">
        <v>17</v>
      </c>
      <c r="B7" s="7">
        <v>44</v>
      </c>
    </row>
    <row r="8" spans="1:2" x14ac:dyDescent="0.25">
      <c r="A8" s="6" t="s">
        <v>11</v>
      </c>
      <c r="B8" s="7">
        <v>39</v>
      </c>
    </row>
    <row r="9" spans="1:2" x14ac:dyDescent="0.25">
      <c r="A9" s="6" t="s">
        <v>83</v>
      </c>
      <c r="B9" s="7">
        <v>36</v>
      </c>
    </row>
    <row r="10" spans="1:2" x14ac:dyDescent="0.25">
      <c r="A10" s="6" t="s">
        <v>84</v>
      </c>
      <c r="B10" s="7">
        <v>32</v>
      </c>
    </row>
    <row r="11" spans="1:2" x14ac:dyDescent="0.25">
      <c r="A11" s="6" t="s">
        <v>85</v>
      </c>
      <c r="B11" s="7">
        <v>24</v>
      </c>
    </row>
    <row r="12" spans="1:2" x14ac:dyDescent="0.25">
      <c r="A12" s="6" t="s">
        <v>86</v>
      </c>
      <c r="B12" s="7">
        <v>20</v>
      </c>
    </row>
    <row r="13" spans="1:2" x14ac:dyDescent="0.25">
      <c r="A13" s="6" t="s">
        <v>25</v>
      </c>
      <c r="B13" s="7">
        <v>20</v>
      </c>
    </row>
    <row r="14" spans="1:2" x14ac:dyDescent="0.25">
      <c r="A14" s="6" t="s">
        <v>125</v>
      </c>
      <c r="B14" s="7">
        <v>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B6" sqref="B6"/>
    </sheetView>
  </sheetViews>
  <sheetFormatPr defaultRowHeight="15" x14ac:dyDescent="0.25"/>
  <cols>
    <col min="1" max="2" width="16.7109375" bestFit="1" customWidth="1"/>
    <col min="3" max="3" width="17.85546875" bestFit="1" customWidth="1"/>
  </cols>
  <sheetData>
    <row r="3" spans="1:3" x14ac:dyDescent="0.25">
      <c r="A3" s="5" t="s">
        <v>124</v>
      </c>
      <c r="B3" t="s">
        <v>126</v>
      </c>
      <c r="C3" t="s">
        <v>127</v>
      </c>
    </row>
    <row r="4" spans="1:3" x14ac:dyDescent="0.25">
      <c r="A4" s="6" t="s">
        <v>131</v>
      </c>
      <c r="B4" s="7">
        <v>3.6133333333333324</v>
      </c>
      <c r="C4" s="7">
        <v>11.133333333333333</v>
      </c>
    </row>
    <row r="5" spans="1:3" x14ac:dyDescent="0.25">
      <c r="A5" s="6" t="s">
        <v>132</v>
      </c>
      <c r="B5" s="7">
        <v>3.7249999999999996</v>
      </c>
      <c r="C5" s="7">
        <v>9.5</v>
      </c>
    </row>
    <row r="6" spans="1:3" x14ac:dyDescent="0.25">
      <c r="A6" s="6" t="s">
        <v>133</v>
      </c>
      <c r="B6" s="7">
        <v>4.2782608695652167</v>
      </c>
      <c r="C6" s="7">
        <v>15.260869565217391</v>
      </c>
    </row>
    <row r="7" spans="1:3" x14ac:dyDescent="0.25">
      <c r="A7" s="6" t="s">
        <v>125</v>
      </c>
      <c r="B7" s="7">
        <v>3.8894736842105244</v>
      </c>
      <c r="C7" s="7">
        <v>12.684210526315789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3"/>
  <sheetViews>
    <sheetView topLeftCell="A7" workbookViewId="0">
      <selection activeCell="A9" sqref="A9"/>
    </sheetView>
  </sheetViews>
  <sheetFormatPr defaultRowHeight="15" x14ac:dyDescent="0.25"/>
  <cols>
    <col min="1" max="1" width="95.7109375" bestFit="1" customWidth="1"/>
    <col min="2" max="2" width="14.28515625" customWidth="1"/>
    <col min="3" max="3" width="13.28515625" customWidth="1"/>
    <col min="4" max="4" width="17.5703125" bestFit="1" customWidth="1"/>
    <col min="5" max="10" width="4" bestFit="1" customWidth="1"/>
    <col min="11" max="11" width="2" bestFit="1" customWidth="1"/>
    <col min="12" max="13" width="4" bestFit="1" customWidth="1"/>
    <col min="14" max="14" width="2" bestFit="1" customWidth="1"/>
    <col min="15" max="22" width="4" bestFit="1" customWidth="1"/>
    <col min="23" max="23" width="2" bestFit="1" customWidth="1"/>
    <col min="24" max="24" width="7.28515625" bestFit="1" customWidth="1"/>
    <col min="25" max="25" width="11.28515625" bestFit="1" customWidth="1"/>
  </cols>
  <sheetData>
    <row r="3" spans="1:4" x14ac:dyDescent="0.25">
      <c r="A3" s="5" t="s">
        <v>124</v>
      </c>
      <c r="B3" t="s">
        <v>130</v>
      </c>
      <c r="C3" t="s">
        <v>128</v>
      </c>
      <c r="D3" t="s">
        <v>129</v>
      </c>
    </row>
    <row r="4" spans="1:4" x14ac:dyDescent="0.25">
      <c r="A4" s="6" t="s">
        <v>98</v>
      </c>
      <c r="B4" s="7">
        <v>2</v>
      </c>
      <c r="C4" s="7">
        <v>4.5</v>
      </c>
      <c r="D4" s="7">
        <v>0.38</v>
      </c>
    </row>
    <row r="5" spans="1:4" x14ac:dyDescent="0.25">
      <c r="A5" s="6" t="s">
        <v>11</v>
      </c>
      <c r="B5" s="7">
        <v>39</v>
      </c>
      <c r="C5" s="7">
        <v>4.7</v>
      </c>
      <c r="D5" s="7">
        <v>0.34</v>
      </c>
    </row>
    <row r="6" spans="1:4" x14ac:dyDescent="0.25">
      <c r="A6" s="6" t="s">
        <v>4</v>
      </c>
      <c r="B6" s="7">
        <v>2</v>
      </c>
      <c r="C6" s="7">
        <v>4.5</v>
      </c>
      <c r="D6" s="7">
        <v>0.38</v>
      </c>
    </row>
    <row r="7" spans="1:4" x14ac:dyDescent="0.25">
      <c r="A7" s="6" t="s">
        <v>24</v>
      </c>
      <c r="B7" s="7">
        <v>13</v>
      </c>
      <c r="C7" s="7">
        <v>3.8</v>
      </c>
      <c r="D7" s="7">
        <v>0.32</v>
      </c>
    </row>
    <row r="8" spans="1:4" x14ac:dyDescent="0.25">
      <c r="A8" s="6" t="s">
        <v>26</v>
      </c>
      <c r="B8" s="7">
        <v>12</v>
      </c>
      <c r="C8" s="7">
        <v>4.7</v>
      </c>
      <c r="D8" s="7">
        <v>0.34</v>
      </c>
    </row>
    <row r="9" spans="1:4" x14ac:dyDescent="0.25">
      <c r="A9" s="6" t="s">
        <v>44</v>
      </c>
      <c r="B9" s="7">
        <v>69</v>
      </c>
      <c r="C9" s="7">
        <v>2.8</v>
      </c>
      <c r="D9" s="7">
        <v>0.49</v>
      </c>
    </row>
    <row r="10" spans="1:4" x14ac:dyDescent="0.25">
      <c r="A10" s="6" t="s">
        <v>104</v>
      </c>
      <c r="B10" s="7"/>
      <c r="C10" s="7"/>
      <c r="D10" s="7">
        <v>0.27</v>
      </c>
    </row>
    <row r="11" spans="1:4" x14ac:dyDescent="0.25">
      <c r="A11" s="6" t="s">
        <v>9</v>
      </c>
      <c r="B11" s="7">
        <v>5</v>
      </c>
      <c r="C11" s="7">
        <v>3.8</v>
      </c>
      <c r="D11" s="7">
        <v>0.45</v>
      </c>
    </row>
    <row r="12" spans="1:4" x14ac:dyDescent="0.25">
      <c r="A12" s="6" t="s">
        <v>6</v>
      </c>
      <c r="B12" s="7">
        <v>55</v>
      </c>
      <c r="C12" s="7">
        <v>4.5999999999999996</v>
      </c>
      <c r="D12" s="7">
        <v>0.24</v>
      </c>
    </row>
    <row r="13" spans="1:4" x14ac:dyDescent="0.25">
      <c r="A13" s="6" t="s">
        <v>74</v>
      </c>
      <c r="B13" s="7"/>
      <c r="C13" s="7"/>
      <c r="D13" s="7">
        <v>0.24</v>
      </c>
    </row>
    <row r="14" spans="1:4" x14ac:dyDescent="0.25">
      <c r="A14" s="6" t="s">
        <v>58</v>
      </c>
      <c r="B14" s="7"/>
      <c r="C14" s="7"/>
      <c r="D14" s="7">
        <v>0.02</v>
      </c>
    </row>
    <row r="15" spans="1:4" x14ac:dyDescent="0.25">
      <c r="A15" s="6" t="s">
        <v>5</v>
      </c>
      <c r="B15" s="7">
        <v>15</v>
      </c>
      <c r="C15" s="7">
        <v>4</v>
      </c>
      <c r="D15" s="7">
        <v>0.09</v>
      </c>
    </row>
    <row r="16" spans="1:4" x14ac:dyDescent="0.25">
      <c r="A16" s="6" t="s">
        <v>105</v>
      </c>
      <c r="B16" s="7"/>
      <c r="C16" s="7"/>
      <c r="D16" s="7">
        <v>0.01</v>
      </c>
    </row>
    <row r="17" spans="1:4" x14ac:dyDescent="0.25">
      <c r="A17" s="6" t="s">
        <v>106</v>
      </c>
      <c r="B17" s="7"/>
      <c r="C17" s="7"/>
      <c r="D17" s="7">
        <v>0.5</v>
      </c>
    </row>
    <row r="18" spans="1:4" x14ac:dyDescent="0.25">
      <c r="A18" s="6" t="s">
        <v>33</v>
      </c>
      <c r="B18" s="7"/>
      <c r="C18" s="7"/>
      <c r="D18" s="7">
        <v>0.38</v>
      </c>
    </row>
    <row r="19" spans="1:4" x14ac:dyDescent="0.25">
      <c r="A19" s="6" t="s">
        <v>53</v>
      </c>
      <c r="B19" s="7"/>
      <c r="C19" s="7"/>
      <c r="D19" s="7">
        <v>0.47</v>
      </c>
    </row>
    <row r="20" spans="1:4" x14ac:dyDescent="0.25">
      <c r="A20" s="6" t="s">
        <v>95</v>
      </c>
      <c r="B20" s="7">
        <v>5</v>
      </c>
      <c r="C20" s="7">
        <v>3</v>
      </c>
      <c r="D20" s="7">
        <v>0.39</v>
      </c>
    </row>
    <row r="21" spans="1:4" x14ac:dyDescent="0.25">
      <c r="A21" s="6" t="s">
        <v>48</v>
      </c>
      <c r="B21" s="7">
        <v>7</v>
      </c>
      <c r="C21" s="7">
        <v>2.2999999999999998</v>
      </c>
      <c r="D21" s="7">
        <v>0.5</v>
      </c>
    </row>
    <row r="22" spans="1:4" x14ac:dyDescent="0.25">
      <c r="A22" s="6" t="s">
        <v>17</v>
      </c>
      <c r="B22" s="7">
        <v>44</v>
      </c>
      <c r="C22" s="7">
        <v>4.5999999999999996</v>
      </c>
      <c r="D22" s="7">
        <v>0.49</v>
      </c>
    </row>
    <row r="23" spans="1:4" x14ac:dyDescent="0.25">
      <c r="A23" s="6" t="s">
        <v>54</v>
      </c>
      <c r="B23" s="7"/>
      <c r="C23" s="7"/>
      <c r="D23" s="7">
        <v>0.43</v>
      </c>
    </row>
    <row r="24" spans="1:4" x14ac:dyDescent="0.25">
      <c r="A24" s="6" t="s">
        <v>18</v>
      </c>
      <c r="B24" s="7">
        <v>13</v>
      </c>
      <c r="C24" s="7">
        <v>3.3</v>
      </c>
      <c r="D24" s="7">
        <v>0.53</v>
      </c>
    </row>
    <row r="25" spans="1:4" x14ac:dyDescent="0.25">
      <c r="A25" s="6" t="s">
        <v>69</v>
      </c>
      <c r="B25" s="7"/>
      <c r="C25" s="7"/>
      <c r="D25" s="7">
        <v>0.49</v>
      </c>
    </row>
    <row r="26" spans="1:4" x14ac:dyDescent="0.25">
      <c r="A26" s="6" t="s">
        <v>12</v>
      </c>
      <c r="B26" s="7">
        <v>12</v>
      </c>
      <c r="C26" s="7">
        <v>4.8</v>
      </c>
      <c r="D26" s="7">
        <v>0.47</v>
      </c>
    </row>
    <row r="27" spans="1:4" x14ac:dyDescent="0.25">
      <c r="A27" s="6" t="s">
        <v>107</v>
      </c>
      <c r="B27" s="7"/>
      <c r="C27" s="7"/>
      <c r="D27" s="7">
        <v>0.49</v>
      </c>
    </row>
    <row r="28" spans="1:4" x14ac:dyDescent="0.25">
      <c r="A28" s="6" t="s">
        <v>19</v>
      </c>
      <c r="B28" s="7"/>
      <c r="C28" s="7"/>
      <c r="D28" s="7">
        <v>0.42</v>
      </c>
    </row>
    <row r="29" spans="1:4" x14ac:dyDescent="0.25">
      <c r="A29" s="6" t="s">
        <v>88</v>
      </c>
      <c r="B29" s="7">
        <v>13</v>
      </c>
      <c r="C29" s="7">
        <v>2.1</v>
      </c>
      <c r="D29" s="7">
        <v>0.55000000000000004</v>
      </c>
    </row>
    <row r="30" spans="1:4" x14ac:dyDescent="0.25">
      <c r="A30" s="6" t="s">
        <v>42</v>
      </c>
      <c r="B30" s="7">
        <v>6</v>
      </c>
      <c r="C30" s="7">
        <v>2.5</v>
      </c>
      <c r="D30" s="7">
        <v>0.13</v>
      </c>
    </row>
    <row r="31" spans="1:4" x14ac:dyDescent="0.25">
      <c r="A31" s="6" t="s">
        <v>25</v>
      </c>
      <c r="B31" s="7">
        <v>20</v>
      </c>
      <c r="C31" s="7">
        <v>4.0999999999999996</v>
      </c>
      <c r="D31" s="7">
        <v>0.3</v>
      </c>
    </row>
    <row r="32" spans="1:4" x14ac:dyDescent="0.25">
      <c r="A32" s="6" t="s">
        <v>84</v>
      </c>
      <c r="B32" s="7">
        <v>32</v>
      </c>
      <c r="C32" s="7">
        <v>4.5</v>
      </c>
      <c r="D32" s="7">
        <v>0.27</v>
      </c>
    </row>
    <row r="33" spans="1:4" x14ac:dyDescent="0.25">
      <c r="A33" s="6" t="s">
        <v>86</v>
      </c>
      <c r="B33" s="7">
        <v>20</v>
      </c>
      <c r="C33" s="7">
        <v>4.7</v>
      </c>
      <c r="D33" s="7">
        <v>0.27</v>
      </c>
    </row>
    <row r="34" spans="1:4" x14ac:dyDescent="0.25">
      <c r="A34" s="6" t="s">
        <v>57</v>
      </c>
      <c r="B34" s="7"/>
      <c r="C34" s="7"/>
      <c r="D34" s="7">
        <v>0.36</v>
      </c>
    </row>
    <row r="35" spans="1:4" x14ac:dyDescent="0.25">
      <c r="A35" s="6" t="s">
        <v>78</v>
      </c>
      <c r="B35" s="7"/>
      <c r="C35" s="7"/>
      <c r="D35" s="7">
        <v>0.64</v>
      </c>
    </row>
    <row r="36" spans="1:4" x14ac:dyDescent="0.25">
      <c r="A36" s="6" t="s">
        <v>66</v>
      </c>
      <c r="B36" s="7"/>
      <c r="C36" s="7"/>
      <c r="D36" s="7">
        <v>0.47</v>
      </c>
    </row>
    <row r="37" spans="1:4" x14ac:dyDescent="0.25">
      <c r="A37" s="6" t="s">
        <v>108</v>
      </c>
      <c r="B37" s="7"/>
      <c r="C37" s="7"/>
      <c r="D37" s="7">
        <v>0.33</v>
      </c>
    </row>
    <row r="38" spans="1:4" x14ac:dyDescent="0.25">
      <c r="A38" s="6" t="s">
        <v>93</v>
      </c>
      <c r="B38" s="7">
        <v>6</v>
      </c>
      <c r="C38" s="7">
        <v>2.2000000000000002</v>
      </c>
      <c r="D38" s="7">
        <v>0.47</v>
      </c>
    </row>
    <row r="39" spans="1:4" x14ac:dyDescent="0.25">
      <c r="A39" s="6" t="s">
        <v>56</v>
      </c>
      <c r="B39" s="7"/>
      <c r="C39" s="7"/>
      <c r="D39" s="7">
        <v>0.49</v>
      </c>
    </row>
    <row r="40" spans="1:4" x14ac:dyDescent="0.25">
      <c r="A40" s="6" t="s">
        <v>72</v>
      </c>
      <c r="B40" s="7"/>
      <c r="C40" s="7"/>
      <c r="D40" s="7">
        <v>0.42</v>
      </c>
    </row>
    <row r="41" spans="1:4" x14ac:dyDescent="0.25">
      <c r="A41" s="6" t="s">
        <v>73</v>
      </c>
      <c r="B41" s="7"/>
      <c r="C41" s="7"/>
      <c r="D41" s="7">
        <v>0.41</v>
      </c>
    </row>
    <row r="42" spans="1:4" x14ac:dyDescent="0.25">
      <c r="A42" s="6" t="s">
        <v>49</v>
      </c>
      <c r="B42" s="7">
        <v>17</v>
      </c>
      <c r="C42" s="7">
        <v>2.6</v>
      </c>
      <c r="D42" s="7">
        <v>0.45</v>
      </c>
    </row>
    <row r="43" spans="1:4" x14ac:dyDescent="0.25">
      <c r="A43" s="6" t="s">
        <v>41</v>
      </c>
      <c r="B43" s="7"/>
      <c r="C43" s="7"/>
      <c r="D43" s="7">
        <v>0.49</v>
      </c>
    </row>
    <row r="44" spans="1:4" x14ac:dyDescent="0.25">
      <c r="A44" s="6" t="s">
        <v>99</v>
      </c>
      <c r="B44" s="7">
        <v>2</v>
      </c>
      <c r="C44" s="7">
        <v>5</v>
      </c>
      <c r="D44" s="7">
        <v>0.51</v>
      </c>
    </row>
    <row r="45" spans="1:4" x14ac:dyDescent="0.25">
      <c r="A45" s="6" t="s">
        <v>47</v>
      </c>
      <c r="B45" s="7">
        <v>6</v>
      </c>
      <c r="C45" s="7">
        <v>2.2000000000000002</v>
      </c>
      <c r="D45" s="7">
        <v>0.45</v>
      </c>
    </row>
    <row r="46" spans="1:4" x14ac:dyDescent="0.25">
      <c r="A46" s="6" t="s">
        <v>71</v>
      </c>
      <c r="B46" s="7"/>
      <c r="C46" s="7"/>
      <c r="D46" s="7">
        <v>0.49</v>
      </c>
    </row>
    <row r="47" spans="1:4" x14ac:dyDescent="0.25">
      <c r="A47" s="6" t="s">
        <v>29</v>
      </c>
      <c r="B47" s="7"/>
      <c r="C47" s="7"/>
      <c r="D47" s="7">
        <v>0.42</v>
      </c>
    </row>
    <row r="48" spans="1:4" x14ac:dyDescent="0.25">
      <c r="A48" s="6" t="s">
        <v>100</v>
      </c>
      <c r="B48" s="7">
        <v>1</v>
      </c>
      <c r="C48" s="7">
        <v>5</v>
      </c>
      <c r="D48" s="7">
        <v>0.49</v>
      </c>
    </row>
    <row r="49" spans="1:4" x14ac:dyDescent="0.25">
      <c r="A49" s="6" t="s">
        <v>79</v>
      </c>
      <c r="B49" s="7"/>
      <c r="C49" s="7"/>
      <c r="D49" s="7">
        <v>0.47</v>
      </c>
    </row>
    <row r="50" spans="1:4" x14ac:dyDescent="0.25">
      <c r="A50" s="6" t="s">
        <v>35</v>
      </c>
      <c r="B50" s="7"/>
      <c r="C50" s="7"/>
      <c r="D50" s="7">
        <v>0.5</v>
      </c>
    </row>
    <row r="51" spans="1:4" x14ac:dyDescent="0.25">
      <c r="A51" s="6" t="s">
        <v>32</v>
      </c>
      <c r="B51" s="7"/>
      <c r="C51" s="7"/>
      <c r="D51" s="7">
        <v>0.49</v>
      </c>
    </row>
    <row r="52" spans="1:4" x14ac:dyDescent="0.25">
      <c r="A52" s="6" t="s">
        <v>61</v>
      </c>
      <c r="B52" s="7"/>
      <c r="C52" s="7"/>
      <c r="D52" s="7">
        <v>0.49</v>
      </c>
    </row>
    <row r="53" spans="1:4" x14ac:dyDescent="0.25">
      <c r="A53" s="6" t="s">
        <v>75</v>
      </c>
      <c r="B53" s="7"/>
      <c r="C53" s="7"/>
      <c r="D53" s="7">
        <v>0.34</v>
      </c>
    </row>
    <row r="54" spans="1:4" x14ac:dyDescent="0.25">
      <c r="A54" s="6" t="s">
        <v>31</v>
      </c>
      <c r="B54" s="7"/>
      <c r="C54" s="7"/>
      <c r="D54" s="7">
        <v>0.5</v>
      </c>
    </row>
    <row r="55" spans="1:4" x14ac:dyDescent="0.25">
      <c r="A55" s="6" t="s">
        <v>40</v>
      </c>
      <c r="B55" s="7"/>
      <c r="C55" s="7"/>
      <c r="D55" s="7">
        <v>0.48</v>
      </c>
    </row>
    <row r="56" spans="1:4" x14ac:dyDescent="0.25">
      <c r="A56" s="6" t="s">
        <v>28</v>
      </c>
      <c r="B56" s="7">
        <v>2</v>
      </c>
      <c r="C56" s="7">
        <v>5</v>
      </c>
      <c r="D56" s="7">
        <v>0.53</v>
      </c>
    </row>
    <row r="57" spans="1:4" x14ac:dyDescent="0.25">
      <c r="A57" s="6" t="s">
        <v>34</v>
      </c>
      <c r="B57" s="7"/>
      <c r="C57" s="7"/>
      <c r="D57" s="7">
        <v>0.61</v>
      </c>
    </row>
    <row r="58" spans="1:4" x14ac:dyDescent="0.25">
      <c r="A58" s="6" t="s">
        <v>55</v>
      </c>
      <c r="B58" s="7"/>
      <c r="C58" s="7"/>
      <c r="D58" s="7">
        <v>0.04</v>
      </c>
    </row>
    <row r="59" spans="1:4" x14ac:dyDescent="0.25">
      <c r="A59" s="6" t="s">
        <v>38</v>
      </c>
      <c r="B59" s="7"/>
      <c r="C59" s="7"/>
      <c r="D59" s="7">
        <v>0.41</v>
      </c>
    </row>
    <row r="60" spans="1:4" x14ac:dyDescent="0.25">
      <c r="A60" s="6" t="s">
        <v>7</v>
      </c>
      <c r="B60" s="7">
        <v>2</v>
      </c>
      <c r="C60" s="7">
        <v>4</v>
      </c>
      <c r="D60" s="7">
        <v>0.37</v>
      </c>
    </row>
    <row r="61" spans="1:4" x14ac:dyDescent="0.25">
      <c r="A61" s="6" t="s">
        <v>27</v>
      </c>
      <c r="B61" s="7">
        <v>1</v>
      </c>
      <c r="C61" s="7">
        <v>5</v>
      </c>
      <c r="D61" s="7">
        <v>0.4</v>
      </c>
    </row>
    <row r="62" spans="1:4" x14ac:dyDescent="0.25">
      <c r="A62" s="6" t="s">
        <v>91</v>
      </c>
      <c r="B62" s="7">
        <v>7</v>
      </c>
      <c r="C62" s="7">
        <v>2.1</v>
      </c>
      <c r="D62" s="7">
        <v>0.47</v>
      </c>
    </row>
    <row r="63" spans="1:4" x14ac:dyDescent="0.25">
      <c r="A63" s="6" t="s">
        <v>22</v>
      </c>
      <c r="B63" s="7">
        <v>49</v>
      </c>
      <c r="C63" s="7">
        <v>4.5999999999999996</v>
      </c>
      <c r="D63" s="7">
        <v>0.35</v>
      </c>
    </row>
    <row r="64" spans="1:4" x14ac:dyDescent="0.25">
      <c r="A64" s="6" t="s">
        <v>89</v>
      </c>
      <c r="B64" s="7">
        <v>9</v>
      </c>
      <c r="C64" s="7">
        <v>4.3</v>
      </c>
      <c r="D64" s="7">
        <v>0.52</v>
      </c>
    </row>
    <row r="65" spans="1:4" x14ac:dyDescent="0.25">
      <c r="A65" s="6" t="s">
        <v>20</v>
      </c>
      <c r="B65" s="7">
        <v>14</v>
      </c>
      <c r="C65" s="7">
        <v>4.4000000000000004</v>
      </c>
      <c r="D65" s="7">
        <v>0.23</v>
      </c>
    </row>
    <row r="66" spans="1:4" x14ac:dyDescent="0.25">
      <c r="A66" s="6" t="s">
        <v>10</v>
      </c>
      <c r="B66" s="7">
        <v>12</v>
      </c>
      <c r="C66" s="7">
        <v>4.0999999999999996</v>
      </c>
      <c r="D66" s="7">
        <v>0.2</v>
      </c>
    </row>
    <row r="67" spans="1:4" x14ac:dyDescent="0.25">
      <c r="A67" s="6" t="s">
        <v>59</v>
      </c>
      <c r="B67" s="7">
        <v>1</v>
      </c>
      <c r="C67" s="7">
        <v>4</v>
      </c>
      <c r="D67" s="7">
        <v>0.49</v>
      </c>
    </row>
    <row r="68" spans="1:4" x14ac:dyDescent="0.25">
      <c r="A68" s="6" t="s">
        <v>45</v>
      </c>
      <c r="B68" s="7">
        <v>15</v>
      </c>
      <c r="C68" s="7">
        <v>2.7</v>
      </c>
      <c r="D68" s="7">
        <v>0.52</v>
      </c>
    </row>
    <row r="69" spans="1:4" x14ac:dyDescent="0.25">
      <c r="A69" s="6" t="s">
        <v>101</v>
      </c>
      <c r="B69" s="7">
        <v>1</v>
      </c>
      <c r="C69" s="7">
        <v>5</v>
      </c>
      <c r="D69" s="7">
        <v>0.21</v>
      </c>
    </row>
    <row r="70" spans="1:4" x14ac:dyDescent="0.25">
      <c r="A70" s="6" t="s">
        <v>50</v>
      </c>
      <c r="B70" s="7">
        <v>5</v>
      </c>
      <c r="C70" s="7">
        <v>3</v>
      </c>
      <c r="D70" s="7">
        <v>0.28999999999999998</v>
      </c>
    </row>
    <row r="71" spans="1:4" x14ac:dyDescent="0.25">
      <c r="A71" s="6" t="s">
        <v>21</v>
      </c>
      <c r="B71" s="7">
        <v>7</v>
      </c>
      <c r="C71" s="7">
        <v>4.3</v>
      </c>
      <c r="D71" s="7">
        <v>0.54</v>
      </c>
    </row>
    <row r="72" spans="1:4" x14ac:dyDescent="0.25">
      <c r="A72" s="6" t="s">
        <v>97</v>
      </c>
      <c r="B72" s="7">
        <v>3</v>
      </c>
      <c r="C72" s="7">
        <v>5</v>
      </c>
      <c r="D72" s="7">
        <v>0.49</v>
      </c>
    </row>
    <row r="73" spans="1:4" x14ac:dyDescent="0.25">
      <c r="A73" s="6" t="s">
        <v>13</v>
      </c>
      <c r="B73" s="7">
        <v>6</v>
      </c>
      <c r="C73" s="7">
        <v>4.5</v>
      </c>
      <c r="D73" s="7">
        <v>0.42</v>
      </c>
    </row>
    <row r="74" spans="1:4" x14ac:dyDescent="0.25">
      <c r="A74" s="6" t="s">
        <v>8</v>
      </c>
      <c r="B74" s="7">
        <v>5</v>
      </c>
      <c r="C74" s="7">
        <v>4.8</v>
      </c>
      <c r="D74" s="7">
        <v>0.55000000000000004</v>
      </c>
    </row>
    <row r="75" spans="1:4" x14ac:dyDescent="0.25">
      <c r="A75" s="6" t="s">
        <v>109</v>
      </c>
      <c r="B75" s="7"/>
      <c r="C75" s="7"/>
      <c r="D75" s="7">
        <v>0.38</v>
      </c>
    </row>
    <row r="76" spans="1:4" x14ac:dyDescent="0.25">
      <c r="A76" s="6" t="s">
        <v>90</v>
      </c>
      <c r="B76" s="7">
        <v>9</v>
      </c>
      <c r="C76" s="7">
        <v>4.3</v>
      </c>
      <c r="D76" s="7">
        <v>0.48</v>
      </c>
    </row>
    <row r="77" spans="1:4" x14ac:dyDescent="0.25">
      <c r="A77" s="6" t="s">
        <v>94</v>
      </c>
      <c r="B77" s="7">
        <v>6</v>
      </c>
      <c r="C77" s="7">
        <v>4</v>
      </c>
      <c r="D77" s="7">
        <v>0.35</v>
      </c>
    </row>
    <row r="78" spans="1:4" x14ac:dyDescent="0.25">
      <c r="A78" s="6" t="s">
        <v>110</v>
      </c>
      <c r="B78" s="7"/>
      <c r="C78" s="7"/>
      <c r="D78" s="7">
        <v>0.34</v>
      </c>
    </row>
    <row r="79" spans="1:4" x14ac:dyDescent="0.25">
      <c r="A79" s="6" t="s">
        <v>16</v>
      </c>
      <c r="B79" s="7">
        <v>5</v>
      </c>
      <c r="C79" s="7">
        <v>4.5999999999999996</v>
      </c>
      <c r="D79" s="7">
        <v>0.19</v>
      </c>
    </row>
    <row r="80" spans="1:4" x14ac:dyDescent="0.25">
      <c r="A80" s="6" t="s">
        <v>102</v>
      </c>
      <c r="B80" s="7">
        <v>1</v>
      </c>
      <c r="C80" s="7">
        <v>3</v>
      </c>
      <c r="D80" s="7">
        <v>0.46</v>
      </c>
    </row>
    <row r="81" spans="1:4" x14ac:dyDescent="0.25">
      <c r="A81" s="6" t="s">
        <v>87</v>
      </c>
      <c r="B81" s="7">
        <v>14</v>
      </c>
      <c r="C81" s="7">
        <v>4.0999999999999996</v>
      </c>
      <c r="D81" s="7">
        <v>0.47</v>
      </c>
    </row>
    <row r="82" spans="1:4" x14ac:dyDescent="0.25">
      <c r="A82" s="6" t="s">
        <v>70</v>
      </c>
      <c r="B82" s="7"/>
      <c r="C82" s="7"/>
      <c r="D82" s="7">
        <v>0.04</v>
      </c>
    </row>
    <row r="83" spans="1:4" x14ac:dyDescent="0.25">
      <c r="A83" s="6" t="s">
        <v>111</v>
      </c>
      <c r="B83" s="7"/>
      <c r="C83" s="7"/>
      <c r="D83" s="7">
        <v>0.5</v>
      </c>
    </row>
    <row r="84" spans="1:4" x14ac:dyDescent="0.25">
      <c r="A84" s="6" t="s">
        <v>113</v>
      </c>
      <c r="B84" s="7"/>
      <c r="C84" s="7"/>
      <c r="D84" s="7">
        <v>0.03</v>
      </c>
    </row>
    <row r="85" spans="1:4" x14ac:dyDescent="0.25">
      <c r="A85" s="6" t="s">
        <v>14</v>
      </c>
      <c r="B85" s="7">
        <v>9</v>
      </c>
      <c r="C85" s="7">
        <v>4.2</v>
      </c>
      <c r="D85" s="7">
        <v>0.33</v>
      </c>
    </row>
    <row r="86" spans="1:4" x14ac:dyDescent="0.25">
      <c r="A86" s="6" t="s">
        <v>62</v>
      </c>
      <c r="B86" s="7"/>
      <c r="C86" s="7"/>
      <c r="D86" s="7">
        <v>0.43</v>
      </c>
    </row>
    <row r="87" spans="1:4" x14ac:dyDescent="0.25">
      <c r="A87" s="6" t="s">
        <v>112</v>
      </c>
      <c r="B87" s="7"/>
      <c r="C87" s="7"/>
      <c r="D87" s="7">
        <v>0.46</v>
      </c>
    </row>
    <row r="88" spans="1:4" x14ac:dyDescent="0.25">
      <c r="A88" s="6" t="s">
        <v>43</v>
      </c>
      <c r="B88" s="7">
        <v>10</v>
      </c>
      <c r="C88" s="7">
        <v>3</v>
      </c>
      <c r="D88" s="7">
        <v>0.54</v>
      </c>
    </row>
    <row r="89" spans="1:4" x14ac:dyDescent="0.25">
      <c r="A89" s="6" t="s">
        <v>60</v>
      </c>
      <c r="B89" s="7"/>
      <c r="C89" s="7"/>
      <c r="D89" s="7">
        <v>0.14000000000000001</v>
      </c>
    </row>
    <row r="90" spans="1:4" x14ac:dyDescent="0.25">
      <c r="A90" s="6" t="s">
        <v>114</v>
      </c>
      <c r="B90" s="7"/>
      <c r="C90" s="7"/>
      <c r="D90" s="7">
        <v>0.11</v>
      </c>
    </row>
    <row r="91" spans="1:4" x14ac:dyDescent="0.25">
      <c r="A91" s="6" t="s">
        <v>15</v>
      </c>
      <c r="B91" s="7">
        <v>2</v>
      </c>
      <c r="C91" s="7">
        <v>5</v>
      </c>
      <c r="D91" s="7">
        <v>0.46</v>
      </c>
    </row>
    <row r="92" spans="1:4" x14ac:dyDescent="0.25">
      <c r="A92" s="6" t="s">
        <v>36</v>
      </c>
      <c r="B92" s="7"/>
      <c r="C92" s="7"/>
      <c r="D92" s="7">
        <v>0.02</v>
      </c>
    </row>
    <row r="93" spans="1:4" x14ac:dyDescent="0.25">
      <c r="A93" s="6" t="s">
        <v>37</v>
      </c>
      <c r="B93" s="7"/>
      <c r="C93" s="7"/>
      <c r="D93" s="7">
        <v>0.22</v>
      </c>
    </row>
    <row r="94" spans="1:4" x14ac:dyDescent="0.25">
      <c r="A94" s="6" t="s">
        <v>96</v>
      </c>
      <c r="B94" s="7">
        <v>5</v>
      </c>
      <c r="C94" s="7">
        <v>4.8</v>
      </c>
      <c r="D94" s="7">
        <v>0.26</v>
      </c>
    </row>
    <row r="95" spans="1:4" x14ac:dyDescent="0.25">
      <c r="A95" s="6" t="s">
        <v>85</v>
      </c>
      <c r="B95" s="7">
        <v>24</v>
      </c>
      <c r="C95" s="7">
        <v>4.5999999999999996</v>
      </c>
      <c r="D95" s="7">
        <v>0.25</v>
      </c>
    </row>
    <row r="96" spans="1:4" x14ac:dyDescent="0.25">
      <c r="A96" s="6" t="s">
        <v>68</v>
      </c>
      <c r="B96" s="7"/>
      <c r="C96" s="7"/>
      <c r="D96" s="7">
        <v>0.02</v>
      </c>
    </row>
    <row r="97" spans="1:4" x14ac:dyDescent="0.25">
      <c r="A97" s="6" t="s">
        <v>23</v>
      </c>
      <c r="B97" s="7">
        <v>12</v>
      </c>
      <c r="C97" s="7">
        <v>3.8</v>
      </c>
      <c r="D97" s="7">
        <v>0.18</v>
      </c>
    </row>
    <row r="98" spans="1:4" x14ac:dyDescent="0.25">
      <c r="A98" s="6" t="s">
        <v>64</v>
      </c>
      <c r="B98" s="7"/>
      <c r="C98" s="7"/>
      <c r="D98" s="7">
        <v>0.48</v>
      </c>
    </row>
    <row r="99" spans="1:4" x14ac:dyDescent="0.25">
      <c r="A99" s="6" t="s">
        <v>83</v>
      </c>
      <c r="B99" s="7">
        <v>36</v>
      </c>
      <c r="C99" s="7">
        <v>4.3</v>
      </c>
      <c r="D99" s="7">
        <v>0.41</v>
      </c>
    </row>
    <row r="100" spans="1:4" x14ac:dyDescent="0.25">
      <c r="A100" s="6" t="s">
        <v>65</v>
      </c>
      <c r="B100" s="7"/>
      <c r="C100" s="7"/>
      <c r="D100" s="7">
        <v>0.48</v>
      </c>
    </row>
    <row r="101" spans="1:4" x14ac:dyDescent="0.25">
      <c r="A101" s="6" t="s">
        <v>30</v>
      </c>
      <c r="B101" s="7"/>
      <c r="C101" s="7"/>
      <c r="D101" s="7">
        <v>0.02</v>
      </c>
    </row>
    <row r="102" spans="1:4" x14ac:dyDescent="0.25">
      <c r="A102" s="6" t="s">
        <v>76</v>
      </c>
      <c r="B102" s="7"/>
      <c r="C102" s="7"/>
      <c r="D102" s="7">
        <v>0.02</v>
      </c>
    </row>
    <row r="103" spans="1:4" x14ac:dyDescent="0.25">
      <c r="A103" s="6" t="s">
        <v>39</v>
      </c>
      <c r="B103" s="7"/>
      <c r="C103" s="7"/>
      <c r="D103" s="7">
        <v>0.55000000000000004</v>
      </c>
    </row>
    <row r="104" spans="1:4" x14ac:dyDescent="0.25">
      <c r="A104" s="6" t="s">
        <v>77</v>
      </c>
      <c r="B104" s="7"/>
      <c r="C104" s="7"/>
      <c r="D104" s="7">
        <v>0.02</v>
      </c>
    </row>
    <row r="105" spans="1:4" x14ac:dyDescent="0.25">
      <c r="A105" s="6" t="s">
        <v>46</v>
      </c>
      <c r="B105" s="7">
        <v>16</v>
      </c>
      <c r="C105" s="7">
        <v>2.9</v>
      </c>
      <c r="D105" s="7">
        <v>0.22</v>
      </c>
    </row>
    <row r="106" spans="1:4" x14ac:dyDescent="0.25">
      <c r="A106" s="6" t="s">
        <v>63</v>
      </c>
      <c r="B106" s="7"/>
      <c r="C106" s="7"/>
      <c r="D106" s="7">
        <v>0.5</v>
      </c>
    </row>
    <row r="107" spans="1:4" x14ac:dyDescent="0.25">
      <c r="A107" s="6" t="s">
        <v>67</v>
      </c>
      <c r="B107" s="7"/>
      <c r="C107" s="7"/>
      <c r="D107" s="7">
        <v>0.08</v>
      </c>
    </row>
    <row r="108" spans="1:4" x14ac:dyDescent="0.25">
      <c r="A108" s="6" t="s">
        <v>103</v>
      </c>
      <c r="B108" s="7">
        <v>1</v>
      </c>
      <c r="C108" s="7">
        <v>2</v>
      </c>
      <c r="D108" s="7">
        <v>0.5</v>
      </c>
    </row>
    <row r="109" spans="1:4" x14ac:dyDescent="0.25">
      <c r="A109" s="6" t="s">
        <v>115</v>
      </c>
      <c r="B109" s="7"/>
      <c r="C109" s="7"/>
      <c r="D109" s="7">
        <v>0.14000000000000001</v>
      </c>
    </row>
    <row r="110" spans="1:4" x14ac:dyDescent="0.25">
      <c r="A110" s="6" t="s">
        <v>51</v>
      </c>
      <c r="B110" s="7">
        <v>6</v>
      </c>
      <c r="C110" s="7">
        <v>2.2999999999999998</v>
      </c>
      <c r="D110" s="7">
        <v>0.43</v>
      </c>
    </row>
    <row r="111" spans="1:4" x14ac:dyDescent="0.25">
      <c r="A111" s="6" t="s">
        <v>92</v>
      </c>
      <c r="B111" s="7">
        <v>7</v>
      </c>
      <c r="C111" s="7">
        <v>4.7</v>
      </c>
      <c r="D111" s="7">
        <v>0.37</v>
      </c>
    </row>
    <row r="112" spans="1:4" x14ac:dyDescent="0.25">
      <c r="A112" s="6" t="s">
        <v>52</v>
      </c>
      <c r="B112" s="7">
        <v>5</v>
      </c>
      <c r="C112" s="7">
        <v>3</v>
      </c>
      <c r="D112" s="7">
        <v>0.43</v>
      </c>
    </row>
    <row r="113" spans="1:4" x14ac:dyDescent="0.25">
      <c r="A113" s="6" t="s">
        <v>125</v>
      </c>
      <c r="B113" s="7">
        <v>69</v>
      </c>
      <c r="C113" s="7">
        <v>5</v>
      </c>
      <c r="D113" s="7">
        <v>0.64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C3" sqref="C3"/>
    </sheetView>
  </sheetViews>
  <sheetFormatPr defaultRowHeight="15" x14ac:dyDescent="0.25"/>
  <cols>
    <col min="1" max="1" width="16" customWidth="1"/>
    <col min="2" max="2" width="16.28515625" customWidth="1"/>
    <col min="3" max="3" width="12.7109375" bestFit="1" customWidth="1"/>
    <col min="4" max="4" width="16.85546875" bestFit="1" customWidth="1"/>
    <col min="5" max="5" width="11.28515625" bestFit="1" customWidth="1"/>
  </cols>
  <sheetData>
    <row r="3" spans="1:5" x14ac:dyDescent="0.25">
      <c r="A3" s="5" t="s">
        <v>140</v>
      </c>
      <c r="B3" s="5" t="s">
        <v>135</v>
      </c>
    </row>
    <row r="4" spans="1:5" x14ac:dyDescent="0.25">
      <c r="A4" s="5" t="s">
        <v>124</v>
      </c>
      <c r="B4" t="s">
        <v>131</v>
      </c>
      <c r="C4" t="s">
        <v>132</v>
      </c>
      <c r="D4" t="s">
        <v>133</v>
      </c>
      <c r="E4" t="s">
        <v>125</v>
      </c>
    </row>
    <row r="5" spans="1:5" x14ac:dyDescent="0.25">
      <c r="A5" s="6" t="s">
        <v>136</v>
      </c>
      <c r="B5" s="7">
        <v>11</v>
      </c>
      <c r="C5" s="7">
        <v>2</v>
      </c>
      <c r="D5" s="7">
        <v>9</v>
      </c>
      <c r="E5" s="7">
        <v>22</v>
      </c>
    </row>
    <row r="6" spans="1:5" x14ac:dyDescent="0.25">
      <c r="A6" s="6" t="s">
        <v>137</v>
      </c>
      <c r="B6" s="7">
        <v>9</v>
      </c>
      <c r="C6" s="7">
        <v>1</v>
      </c>
      <c r="D6" s="7">
        <v>13</v>
      </c>
      <c r="E6" s="7">
        <v>23</v>
      </c>
    </row>
    <row r="7" spans="1:5" x14ac:dyDescent="0.25">
      <c r="A7" s="6" t="s">
        <v>138</v>
      </c>
      <c r="B7" s="7">
        <v>32</v>
      </c>
      <c r="C7" s="7">
        <v>14</v>
      </c>
      <c r="D7" s="7">
        <v>9</v>
      </c>
      <c r="E7" s="7">
        <v>55</v>
      </c>
    </row>
    <row r="8" spans="1:5" x14ac:dyDescent="0.25">
      <c r="A8" s="6" t="s">
        <v>139</v>
      </c>
      <c r="B8" s="7">
        <v>10</v>
      </c>
      <c r="C8" s="7">
        <v>1</v>
      </c>
      <c r="D8" s="7">
        <v>1</v>
      </c>
      <c r="E8" s="7">
        <v>12</v>
      </c>
    </row>
    <row r="9" spans="1:5" x14ac:dyDescent="0.25">
      <c r="A9" s="6" t="s">
        <v>125</v>
      </c>
      <c r="B9" s="7">
        <v>62</v>
      </c>
      <c r="C9" s="7">
        <v>18</v>
      </c>
      <c r="D9" s="7">
        <v>32</v>
      </c>
      <c r="E9" s="7">
        <v>112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3"/>
  <sheetViews>
    <sheetView workbookViewId="0">
      <selection activeCell="C4" sqref="C4"/>
    </sheetView>
  </sheetViews>
  <sheetFormatPr defaultRowHeight="15" x14ac:dyDescent="0.25"/>
  <cols>
    <col min="1" max="1" width="95.7109375" customWidth="1"/>
    <col min="2" max="2" width="23" customWidth="1"/>
    <col min="3" max="3" width="13.28515625" customWidth="1"/>
    <col min="4" max="6" width="5" bestFit="1" customWidth="1"/>
    <col min="7" max="9" width="4" bestFit="1" customWidth="1"/>
    <col min="10" max="11" width="5" bestFit="1" customWidth="1"/>
    <col min="12" max="12" width="4" bestFit="1" customWidth="1"/>
    <col min="13" max="23" width="5" bestFit="1" customWidth="1"/>
    <col min="24" max="24" width="7.28515625" bestFit="1" customWidth="1"/>
    <col min="25" max="25" width="11.28515625" bestFit="1" customWidth="1"/>
    <col min="26" max="52" width="4" bestFit="1" customWidth="1"/>
    <col min="53" max="71" width="5" bestFit="1" customWidth="1"/>
    <col min="72" max="78" width="5" customWidth="1"/>
    <col min="79" max="104" width="5" bestFit="1" customWidth="1"/>
    <col min="105" max="105" width="11.28515625" bestFit="1" customWidth="1"/>
    <col min="129" max="129" width="12.140625" bestFit="1" customWidth="1"/>
    <col min="130" max="130" width="11.28515625" bestFit="1" customWidth="1"/>
  </cols>
  <sheetData>
    <row r="3" spans="1:3" x14ac:dyDescent="0.25">
      <c r="A3" s="5" t="s">
        <v>124</v>
      </c>
      <c r="B3" t="s">
        <v>141</v>
      </c>
      <c r="C3" t="s">
        <v>128</v>
      </c>
    </row>
    <row r="4" spans="1:3" x14ac:dyDescent="0.25">
      <c r="A4" s="6" t="s">
        <v>28</v>
      </c>
      <c r="B4" s="7">
        <v>171</v>
      </c>
      <c r="C4" s="7">
        <v>5</v>
      </c>
    </row>
    <row r="5" spans="1:3" x14ac:dyDescent="0.25">
      <c r="A5" s="6" t="s">
        <v>97</v>
      </c>
      <c r="B5" s="7">
        <v>2025</v>
      </c>
      <c r="C5" s="7">
        <v>5</v>
      </c>
    </row>
    <row r="6" spans="1:3" x14ac:dyDescent="0.25">
      <c r="A6" s="6" t="s">
        <v>101</v>
      </c>
      <c r="B6" s="7">
        <v>3640</v>
      </c>
      <c r="C6" s="7">
        <v>5</v>
      </c>
    </row>
    <row r="7" spans="1:3" x14ac:dyDescent="0.25">
      <c r="A7" s="6" t="s">
        <v>99</v>
      </c>
      <c r="B7" s="7">
        <v>332</v>
      </c>
      <c r="C7" s="7">
        <v>5</v>
      </c>
    </row>
    <row r="8" spans="1:3" x14ac:dyDescent="0.25">
      <c r="A8" s="6" t="s">
        <v>15</v>
      </c>
      <c r="B8" s="7">
        <v>195</v>
      </c>
      <c r="C8" s="7">
        <v>5</v>
      </c>
    </row>
    <row r="9" spans="1:3" x14ac:dyDescent="0.25">
      <c r="A9" s="6" t="s">
        <v>100</v>
      </c>
      <c r="B9" s="7">
        <v>979</v>
      </c>
      <c r="C9" s="7">
        <v>5</v>
      </c>
    </row>
    <row r="10" spans="1:3" x14ac:dyDescent="0.25">
      <c r="A10" s="6" t="s">
        <v>27</v>
      </c>
      <c r="B10" s="7">
        <v>1620</v>
      </c>
      <c r="C10" s="7">
        <v>5</v>
      </c>
    </row>
    <row r="11" spans="1:3" x14ac:dyDescent="0.25">
      <c r="A11" s="6" t="s">
        <v>12</v>
      </c>
      <c r="B11" s="7">
        <v>552</v>
      </c>
      <c r="C11" s="7">
        <v>4.8</v>
      </c>
    </row>
    <row r="12" spans="1:3" x14ac:dyDescent="0.25">
      <c r="A12" s="6" t="s">
        <v>96</v>
      </c>
      <c r="B12" s="7">
        <v>1740</v>
      </c>
      <c r="C12" s="7">
        <v>4.8</v>
      </c>
    </row>
    <row r="13" spans="1:3" x14ac:dyDescent="0.25">
      <c r="A13" s="6" t="s">
        <v>8</v>
      </c>
      <c r="B13" s="7">
        <v>1274</v>
      </c>
      <c r="C13" s="7">
        <v>4.8</v>
      </c>
    </row>
    <row r="14" spans="1:3" x14ac:dyDescent="0.25">
      <c r="A14" s="6" t="s">
        <v>26</v>
      </c>
      <c r="B14" s="7">
        <v>980</v>
      </c>
      <c r="C14" s="7">
        <v>4.7</v>
      </c>
    </row>
    <row r="15" spans="1:3" x14ac:dyDescent="0.25">
      <c r="A15" s="6" t="s">
        <v>11</v>
      </c>
      <c r="B15" s="7">
        <v>990</v>
      </c>
      <c r="C15" s="7">
        <v>4.7</v>
      </c>
    </row>
    <row r="16" spans="1:3" x14ac:dyDescent="0.25">
      <c r="A16" s="6" t="s">
        <v>86</v>
      </c>
      <c r="B16" s="7">
        <v>1940</v>
      </c>
      <c r="C16" s="7">
        <v>4.7</v>
      </c>
    </row>
    <row r="17" spans="1:3" x14ac:dyDescent="0.25">
      <c r="A17" s="6" t="s">
        <v>92</v>
      </c>
      <c r="B17" s="7">
        <v>1580</v>
      </c>
      <c r="C17" s="7">
        <v>4.7</v>
      </c>
    </row>
    <row r="18" spans="1:3" x14ac:dyDescent="0.25">
      <c r="A18" s="6" t="s">
        <v>6</v>
      </c>
      <c r="B18" s="7">
        <v>2319</v>
      </c>
      <c r="C18" s="7">
        <v>4.5999999999999996</v>
      </c>
    </row>
    <row r="19" spans="1:3" x14ac:dyDescent="0.25">
      <c r="A19" s="6" t="s">
        <v>16</v>
      </c>
      <c r="B19" s="7">
        <v>2999</v>
      </c>
      <c r="C19" s="7">
        <v>4.5999999999999996</v>
      </c>
    </row>
    <row r="20" spans="1:3" x14ac:dyDescent="0.25">
      <c r="A20" s="6" t="s">
        <v>17</v>
      </c>
      <c r="B20" s="7">
        <v>998</v>
      </c>
      <c r="C20" s="7">
        <v>4.5999999999999996</v>
      </c>
    </row>
    <row r="21" spans="1:3" x14ac:dyDescent="0.25">
      <c r="A21" s="6" t="s">
        <v>85</v>
      </c>
      <c r="B21" s="7">
        <v>2199</v>
      </c>
      <c r="C21" s="7">
        <v>4.5999999999999996</v>
      </c>
    </row>
    <row r="22" spans="1:3" x14ac:dyDescent="0.25">
      <c r="A22" s="6" t="s">
        <v>22</v>
      </c>
      <c r="B22" s="7">
        <v>420</v>
      </c>
      <c r="C22" s="7">
        <v>4.5999999999999996</v>
      </c>
    </row>
    <row r="23" spans="1:3" x14ac:dyDescent="0.25">
      <c r="A23" s="6" t="s">
        <v>84</v>
      </c>
      <c r="B23" s="7">
        <v>1980</v>
      </c>
      <c r="C23" s="7">
        <v>4.5</v>
      </c>
    </row>
    <row r="24" spans="1:3" x14ac:dyDescent="0.25">
      <c r="A24" s="6" t="s">
        <v>13</v>
      </c>
      <c r="B24" s="7">
        <v>501</v>
      </c>
      <c r="C24" s="7">
        <v>4.5</v>
      </c>
    </row>
    <row r="25" spans="1:3" x14ac:dyDescent="0.25">
      <c r="A25" s="6" t="s">
        <v>98</v>
      </c>
      <c r="B25" s="7">
        <v>1800</v>
      </c>
      <c r="C25" s="7">
        <v>4.5</v>
      </c>
    </row>
    <row r="26" spans="1:3" x14ac:dyDescent="0.25">
      <c r="A26" s="6" t="s">
        <v>4</v>
      </c>
      <c r="B26" s="7">
        <v>950</v>
      </c>
      <c r="C26" s="7">
        <v>4.5</v>
      </c>
    </row>
    <row r="27" spans="1:3" x14ac:dyDescent="0.25">
      <c r="A27" s="6" t="s">
        <v>20</v>
      </c>
      <c r="B27" s="7">
        <v>1650</v>
      </c>
      <c r="C27" s="7">
        <v>4.4000000000000004</v>
      </c>
    </row>
    <row r="28" spans="1:3" x14ac:dyDescent="0.25">
      <c r="A28" s="6" t="s">
        <v>90</v>
      </c>
      <c r="B28" s="7">
        <v>1820</v>
      </c>
      <c r="C28" s="7">
        <v>4.3</v>
      </c>
    </row>
    <row r="29" spans="1:3" x14ac:dyDescent="0.25">
      <c r="A29" s="6" t="s">
        <v>83</v>
      </c>
      <c r="B29" s="7">
        <v>389</v>
      </c>
      <c r="C29" s="7">
        <v>4.3</v>
      </c>
    </row>
    <row r="30" spans="1:3" x14ac:dyDescent="0.25">
      <c r="A30" s="6" t="s">
        <v>21</v>
      </c>
      <c r="B30" s="7">
        <v>2048</v>
      </c>
      <c r="C30" s="7">
        <v>4.3</v>
      </c>
    </row>
    <row r="31" spans="1:3" x14ac:dyDescent="0.25">
      <c r="A31" s="6" t="s">
        <v>89</v>
      </c>
      <c r="B31" s="7">
        <v>185</v>
      </c>
      <c r="C31" s="7">
        <v>4.3</v>
      </c>
    </row>
    <row r="32" spans="1:3" x14ac:dyDescent="0.25">
      <c r="A32" s="6" t="s">
        <v>14</v>
      </c>
      <c r="B32" s="7">
        <v>1680</v>
      </c>
      <c r="C32" s="7">
        <v>4.2</v>
      </c>
    </row>
    <row r="33" spans="1:3" x14ac:dyDescent="0.25">
      <c r="A33" s="6" t="s">
        <v>87</v>
      </c>
      <c r="B33" s="7">
        <v>527</v>
      </c>
      <c r="C33" s="7">
        <v>4.0999999999999996</v>
      </c>
    </row>
    <row r="34" spans="1:3" x14ac:dyDescent="0.25">
      <c r="A34" s="6" t="s">
        <v>25</v>
      </c>
      <c r="B34" s="7">
        <v>1758</v>
      </c>
      <c r="C34" s="7">
        <v>4.0999999999999996</v>
      </c>
    </row>
    <row r="35" spans="1:3" x14ac:dyDescent="0.25">
      <c r="A35" s="6" t="s">
        <v>10</v>
      </c>
      <c r="B35" s="7">
        <v>799</v>
      </c>
      <c r="C35" s="7">
        <v>4.0999999999999996</v>
      </c>
    </row>
    <row r="36" spans="1:3" x14ac:dyDescent="0.25">
      <c r="A36" s="6" t="s">
        <v>7</v>
      </c>
      <c r="B36" s="7">
        <v>988</v>
      </c>
      <c r="C36" s="7">
        <v>4</v>
      </c>
    </row>
    <row r="37" spans="1:3" x14ac:dyDescent="0.25">
      <c r="A37" s="6" t="s">
        <v>59</v>
      </c>
      <c r="B37" s="7">
        <v>330</v>
      </c>
      <c r="C37" s="7">
        <v>4</v>
      </c>
    </row>
    <row r="38" spans="1:3" x14ac:dyDescent="0.25">
      <c r="A38" s="6" t="s">
        <v>5</v>
      </c>
      <c r="B38" s="7">
        <v>2999</v>
      </c>
      <c r="C38" s="7">
        <v>4</v>
      </c>
    </row>
    <row r="39" spans="1:3" x14ac:dyDescent="0.25">
      <c r="A39" s="6" t="s">
        <v>94</v>
      </c>
      <c r="B39" s="7">
        <v>880</v>
      </c>
      <c r="C39" s="7">
        <v>4</v>
      </c>
    </row>
    <row r="40" spans="1:3" x14ac:dyDescent="0.25">
      <c r="A40" s="6" t="s">
        <v>9</v>
      </c>
      <c r="B40" s="7">
        <v>1600</v>
      </c>
      <c r="C40" s="7">
        <v>3.8</v>
      </c>
    </row>
    <row r="41" spans="1:3" x14ac:dyDescent="0.25">
      <c r="A41" s="6" t="s">
        <v>23</v>
      </c>
      <c r="B41" s="7">
        <v>2880</v>
      </c>
      <c r="C41" s="7">
        <v>3.8</v>
      </c>
    </row>
    <row r="42" spans="1:3" x14ac:dyDescent="0.25">
      <c r="A42" s="6" t="s">
        <v>24</v>
      </c>
      <c r="B42" s="7">
        <v>1350</v>
      </c>
      <c r="C42" s="7">
        <v>3.8</v>
      </c>
    </row>
    <row r="43" spans="1:3" x14ac:dyDescent="0.25">
      <c r="A43" s="6" t="s">
        <v>18</v>
      </c>
      <c r="B43" s="7">
        <v>38</v>
      </c>
      <c r="C43" s="7">
        <v>3.3</v>
      </c>
    </row>
    <row r="44" spans="1:3" x14ac:dyDescent="0.25">
      <c r="A44" s="6" t="s">
        <v>43</v>
      </c>
      <c r="B44" s="7">
        <v>458</v>
      </c>
      <c r="C44" s="7">
        <v>3</v>
      </c>
    </row>
    <row r="45" spans="1:3" x14ac:dyDescent="0.25">
      <c r="A45" s="6" t="s">
        <v>50</v>
      </c>
      <c r="B45" s="7">
        <v>2300</v>
      </c>
      <c r="C45" s="7">
        <v>3</v>
      </c>
    </row>
    <row r="46" spans="1:3" x14ac:dyDescent="0.25">
      <c r="A46" s="6" t="s">
        <v>95</v>
      </c>
      <c r="B46" s="7">
        <v>3750</v>
      </c>
      <c r="C46" s="7">
        <v>3</v>
      </c>
    </row>
    <row r="47" spans="1:3" x14ac:dyDescent="0.25">
      <c r="A47" s="6" t="s">
        <v>102</v>
      </c>
      <c r="B47" s="7">
        <v>1189</v>
      </c>
      <c r="C47" s="7">
        <v>3</v>
      </c>
    </row>
    <row r="48" spans="1:3" x14ac:dyDescent="0.25">
      <c r="A48" s="6" t="s">
        <v>52</v>
      </c>
      <c r="B48" s="7">
        <v>509</v>
      </c>
      <c r="C48" s="7">
        <v>3</v>
      </c>
    </row>
    <row r="49" spans="1:3" x14ac:dyDescent="0.25">
      <c r="A49" s="6" t="s">
        <v>46</v>
      </c>
      <c r="B49" s="7">
        <v>1220</v>
      </c>
      <c r="C49" s="7">
        <v>2.9</v>
      </c>
    </row>
    <row r="50" spans="1:3" x14ac:dyDescent="0.25">
      <c r="A50" s="6" t="s">
        <v>44</v>
      </c>
      <c r="B50" s="7">
        <v>445</v>
      </c>
      <c r="C50" s="7">
        <v>2.8</v>
      </c>
    </row>
    <row r="51" spans="1:3" x14ac:dyDescent="0.25">
      <c r="A51" s="6" t="s">
        <v>45</v>
      </c>
      <c r="B51" s="7">
        <v>325</v>
      </c>
      <c r="C51" s="7">
        <v>2.7</v>
      </c>
    </row>
    <row r="52" spans="1:3" x14ac:dyDescent="0.25">
      <c r="A52" s="6" t="s">
        <v>49</v>
      </c>
      <c r="B52" s="7">
        <v>382</v>
      </c>
      <c r="C52" s="7">
        <v>2.6</v>
      </c>
    </row>
    <row r="53" spans="1:3" x14ac:dyDescent="0.25">
      <c r="A53" s="6" t="s">
        <v>42</v>
      </c>
      <c r="B53" s="7">
        <v>2170</v>
      </c>
      <c r="C53" s="7">
        <v>2.5</v>
      </c>
    </row>
    <row r="54" spans="1:3" x14ac:dyDescent="0.25">
      <c r="A54" s="6" t="s">
        <v>51</v>
      </c>
      <c r="B54" s="7">
        <v>345</v>
      </c>
      <c r="C54" s="7">
        <v>2.2999999999999998</v>
      </c>
    </row>
    <row r="55" spans="1:3" x14ac:dyDescent="0.25">
      <c r="A55" s="6" t="s">
        <v>48</v>
      </c>
      <c r="B55" s="7">
        <v>1000</v>
      </c>
      <c r="C55" s="7">
        <v>2.2999999999999998</v>
      </c>
    </row>
    <row r="56" spans="1:3" x14ac:dyDescent="0.25">
      <c r="A56" s="6" t="s">
        <v>47</v>
      </c>
      <c r="B56" s="7">
        <v>990</v>
      </c>
      <c r="C56" s="7">
        <v>2.2000000000000002</v>
      </c>
    </row>
    <row r="57" spans="1:3" x14ac:dyDescent="0.25">
      <c r="A57" s="6" t="s">
        <v>93</v>
      </c>
      <c r="B57" s="7">
        <v>968</v>
      </c>
      <c r="C57" s="7">
        <v>2.2000000000000002</v>
      </c>
    </row>
    <row r="58" spans="1:3" x14ac:dyDescent="0.25">
      <c r="A58" s="6" t="s">
        <v>91</v>
      </c>
      <c r="B58" s="7">
        <v>1570</v>
      </c>
      <c r="C58" s="7">
        <v>2.1</v>
      </c>
    </row>
    <row r="59" spans="1:3" x14ac:dyDescent="0.25">
      <c r="A59" s="6" t="s">
        <v>88</v>
      </c>
      <c r="B59" s="7">
        <v>2115</v>
      </c>
      <c r="C59" s="7">
        <v>2.1</v>
      </c>
    </row>
    <row r="60" spans="1:3" x14ac:dyDescent="0.25">
      <c r="A60" s="6" t="s">
        <v>103</v>
      </c>
      <c r="B60" s="7">
        <v>450</v>
      </c>
      <c r="C60" s="7">
        <v>2</v>
      </c>
    </row>
    <row r="61" spans="1:3" x14ac:dyDescent="0.25">
      <c r="A61" s="6" t="s">
        <v>36</v>
      </c>
      <c r="B61" s="7">
        <v>1660</v>
      </c>
      <c r="C61" s="7"/>
    </row>
    <row r="62" spans="1:3" x14ac:dyDescent="0.25">
      <c r="A62" s="6" t="s">
        <v>113</v>
      </c>
      <c r="B62" s="7">
        <v>1459</v>
      </c>
      <c r="C62" s="7"/>
    </row>
    <row r="63" spans="1:3" x14ac:dyDescent="0.25">
      <c r="A63" s="6" t="s">
        <v>69</v>
      </c>
      <c r="B63" s="7">
        <v>248</v>
      </c>
      <c r="C63" s="7"/>
    </row>
    <row r="64" spans="1:3" x14ac:dyDescent="0.25">
      <c r="A64" s="6" t="s">
        <v>38</v>
      </c>
      <c r="B64" s="7">
        <v>799</v>
      </c>
      <c r="C64" s="7"/>
    </row>
    <row r="65" spans="1:3" x14ac:dyDescent="0.25">
      <c r="A65" s="6" t="s">
        <v>41</v>
      </c>
      <c r="B65" s="7">
        <v>728</v>
      </c>
      <c r="C65" s="7"/>
    </row>
    <row r="66" spans="1:3" x14ac:dyDescent="0.25">
      <c r="A66" s="6" t="s">
        <v>32</v>
      </c>
      <c r="B66" s="7">
        <v>671</v>
      </c>
      <c r="C66" s="7"/>
    </row>
    <row r="67" spans="1:3" x14ac:dyDescent="0.25">
      <c r="A67" s="6" t="s">
        <v>68</v>
      </c>
      <c r="B67" s="7">
        <v>1462</v>
      </c>
      <c r="C67" s="7"/>
    </row>
    <row r="68" spans="1:3" x14ac:dyDescent="0.25">
      <c r="A68" s="6" t="s">
        <v>107</v>
      </c>
      <c r="B68" s="7">
        <v>475</v>
      </c>
      <c r="C68" s="7"/>
    </row>
    <row r="69" spans="1:3" x14ac:dyDescent="0.25">
      <c r="A69" s="6" t="s">
        <v>54</v>
      </c>
      <c r="B69" s="7">
        <v>690</v>
      </c>
      <c r="C69" s="7"/>
    </row>
    <row r="70" spans="1:3" x14ac:dyDescent="0.25">
      <c r="A70" s="6" t="s">
        <v>19</v>
      </c>
      <c r="B70" s="7">
        <v>1860</v>
      </c>
      <c r="C70" s="7"/>
    </row>
    <row r="71" spans="1:3" x14ac:dyDescent="0.25">
      <c r="A71" s="6" t="s">
        <v>62</v>
      </c>
      <c r="B71" s="7">
        <v>630</v>
      </c>
      <c r="C71" s="7"/>
    </row>
    <row r="72" spans="1:3" x14ac:dyDescent="0.25">
      <c r="A72" s="6" t="s">
        <v>58</v>
      </c>
      <c r="B72" s="7">
        <v>1666</v>
      </c>
      <c r="C72" s="7"/>
    </row>
    <row r="73" spans="1:3" x14ac:dyDescent="0.25">
      <c r="A73" s="6" t="s">
        <v>114</v>
      </c>
      <c r="B73" s="7">
        <v>799</v>
      </c>
      <c r="C73" s="7"/>
    </row>
    <row r="74" spans="1:3" x14ac:dyDescent="0.25">
      <c r="A74" s="6" t="s">
        <v>61</v>
      </c>
      <c r="B74" s="7">
        <v>274</v>
      </c>
      <c r="C74" s="7"/>
    </row>
    <row r="75" spans="1:3" x14ac:dyDescent="0.25">
      <c r="A75" s="6" t="s">
        <v>35</v>
      </c>
      <c r="B75" s="7">
        <v>299</v>
      </c>
      <c r="C75" s="7"/>
    </row>
    <row r="76" spans="1:3" x14ac:dyDescent="0.25">
      <c r="A76" s="6" t="s">
        <v>75</v>
      </c>
      <c r="B76" s="7">
        <v>1190</v>
      </c>
      <c r="C76" s="7"/>
    </row>
    <row r="77" spans="1:3" x14ac:dyDescent="0.25">
      <c r="A77" s="6" t="s">
        <v>64</v>
      </c>
      <c r="B77" s="7">
        <v>1300</v>
      </c>
      <c r="C77" s="7"/>
    </row>
    <row r="78" spans="1:3" x14ac:dyDescent="0.25">
      <c r="A78" s="6" t="s">
        <v>105</v>
      </c>
      <c r="B78" s="7">
        <v>1875</v>
      </c>
      <c r="C78" s="7"/>
    </row>
    <row r="79" spans="1:3" x14ac:dyDescent="0.25">
      <c r="A79" s="6" t="s">
        <v>74</v>
      </c>
      <c r="B79" s="7">
        <v>198</v>
      </c>
      <c r="C79" s="7"/>
    </row>
    <row r="80" spans="1:3" x14ac:dyDescent="0.25">
      <c r="A80" s="6" t="s">
        <v>106</v>
      </c>
      <c r="B80" s="7">
        <v>1200</v>
      </c>
      <c r="C80" s="7"/>
    </row>
    <row r="81" spans="1:3" x14ac:dyDescent="0.25">
      <c r="A81" s="6" t="s">
        <v>111</v>
      </c>
      <c r="B81" s="7">
        <v>238</v>
      </c>
      <c r="C81" s="7"/>
    </row>
    <row r="82" spans="1:3" x14ac:dyDescent="0.25">
      <c r="A82" s="6" t="s">
        <v>33</v>
      </c>
      <c r="B82" s="7">
        <v>1200</v>
      </c>
      <c r="C82" s="7"/>
    </row>
    <row r="83" spans="1:3" x14ac:dyDescent="0.25">
      <c r="A83" s="6" t="s">
        <v>40</v>
      </c>
      <c r="B83" s="7">
        <v>699</v>
      </c>
      <c r="C83" s="7"/>
    </row>
    <row r="84" spans="1:3" x14ac:dyDescent="0.25">
      <c r="A84" s="6" t="s">
        <v>57</v>
      </c>
      <c r="B84" s="7">
        <v>1460</v>
      </c>
      <c r="C84" s="7"/>
    </row>
    <row r="85" spans="1:3" x14ac:dyDescent="0.25">
      <c r="A85" s="6" t="s">
        <v>112</v>
      </c>
      <c r="B85" s="7">
        <v>2200</v>
      </c>
      <c r="C85" s="7"/>
    </row>
    <row r="86" spans="1:3" x14ac:dyDescent="0.25">
      <c r="A86" s="6" t="s">
        <v>78</v>
      </c>
      <c r="B86" s="7">
        <v>199</v>
      </c>
      <c r="C86" s="7"/>
    </row>
    <row r="87" spans="1:3" x14ac:dyDescent="0.25">
      <c r="A87" s="6" t="s">
        <v>60</v>
      </c>
      <c r="B87" s="7">
        <v>1466</v>
      </c>
      <c r="C87" s="7"/>
    </row>
    <row r="88" spans="1:3" x14ac:dyDescent="0.25">
      <c r="A88" s="6" t="s">
        <v>66</v>
      </c>
      <c r="B88" s="7">
        <v>899</v>
      </c>
      <c r="C88" s="7"/>
    </row>
    <row r="89" spans="1:3" x14ac:dyDescent="0.25">
      <c r="A89" s="6" t="s">
        <v>53</v>
      </c>
      <c r="B89" s="7">
        <v>790</v>
      </c>
      <c r="C89" s="7"/>
    </row>
    <row r="90" spans="1:3" x14ac:dyDescent="0.25">
      <c r="A90" s="6" t="s">
        <v>109</v>
      </c>
      <c r="B90" s="7">
        <v>2750</v>
      </c>
      <c r="C90" s="7"/>
    </row>
    <row r="91" spans="1:3" x14ac:dyDescent="0.25">
      <c r="A91" s="6" t="s">
        <v>37</v>
      </c>
      <c r="B91" s="7">
        <v>299</v>
      </c>
      <c r="C91" s="7"/>
    </row>
    <row r="92" spans="1:3" x14ac:dyDescent="0.25">
      <c r="A92" s="6" t="s">
        <v>108</v>
      </c>
      <c r="B92" s="7">
        <v>1190</v>
      </c>
      <c r="C92" s="7"/>
    </row>
    <row r="93" spans="1:3" x14ac:dyDescent="0.25">
      <c r="A93" s="6" t="s">
        <v>71</v>
      </c>
      <c r="B93" s="7">
        <v>525</v>
      </c>
      <c r="C93" s="7"/>
    </row>
    <row r="94" spans="1:3" x14ac:dyDescent="0.25">
      <c r="A94" s="6" t="s">
        <v>67</v>
      </c>
      <c r="B94" s="7">
        <v>1526</v>
      </c>
      <c r="C94" s="7"/>
    </row>
    <row r="95" spans="1:3" x14ac:dyDescent="0.25">
      <c r="A95" s="6" t="s">
        <v>29</v>
      </c>
      <c r="B95" s="7">
        <v>610</v>
      </c>
      <c r="C95" s="7"/>
    </row>
    <row r="96" spans="1:3" x14ac:dyDescent="0.25">
      <c r="A96" s="6" t="s">
        <v>65</v>
      </c>
      <c r="B96" s="7">
        <v>105</v>
      </c>
      <c r="C96" s="7"/>
    </row>
    <row r="97" spans="1:3" x14ac:dyDescent="0.25">
      <c r="A97" s="6" t="s">
        <v>104</v>
      </c>
      <c r="B97" s="7">
        <v>2799</v>
      </c>
      <c r="C97" s="7"/>
    </row>
    <row r="98" spans="1:3" x14ac:dyDescent="0.25">
      <c r="A98" s="6" t="s">
        <v>30</v>
      </c>
      <c r="B98" s="7">
        <v>2132</v>
      </c>
      <c r="C98" s="7"/>
    </row>
    <row r="99" spans="1:3" x14ac:dyDescent="0.25">
      <c r="A99" s="6" t="s">
        <v>39</v>
      </c>
      <c r="B99" s="7">
        <v>449</v>
      </c>
      <c r="C99" s="7"/>
    </row>
    <row r="100" spans="1:3" x14ac:dyDescent="0.25">
      <c r="A100" s="6" t="s">
        <v>76</v>
      </c>
      <c r="B100" s="7">
        <v>1658</v>
      </c>
      <c r="C100" s="7"/>
    </row>
    <row r="101" spans="1:3" x14ac:dyDescent="0.25">
      <c r="A101" s="6" t="s">
        <v>31</v>
      </c>
      <c r="B101" s="7">
        <v>999</v>
      </c>
      <c r="C101" s="7"/>
    </row>
    <row r="102" spans="1:3" x14ac:dyDescent="0.25">
      <c r="A102" s="6" t="s">
        <v>77</v>
      </c>
      <c r="B102" s="7">
        <v>1768</v>
      </c>
      <c r="C102" s="7"/>
    </row>
    <row r="103" spans="1:3" x14ac:dyDescent="0.25">
      <c r="A103" s="6" t="s">
        <v>72</v>
      </c>
      <c r="B103" s="7">
        <v>1080</v>
      </c>
      <c r="C103" s="7"/>
    </row>
    <row r="104" spans="1:3" x14ac:dyDescent="0.25">
      <c r="A104" s="6" t="s">
        <v>63</v>
      </c>
      <c r="B104" s="7">
        <v>850</v>
      </c>
      <c r="C104" s="7"/>
    </row>
    <row r="105" spans="1:3" x14ac:dyDescent="0.25">
      <c r="A105" s="6" t="s">
        <v>73</v>
      </c>
      <c r="B105" s="7">
        <v>1420</v>
      </c>
      <c r="C105" s="7"/>
    </row>
    <row r="106" spans="1:3" x14ac:dyDescent="0.25">
      <c r="A106" s="6" t="s">
        <v>70</v>
      </c>
      <c r="B106" s="7">
        <v>3546</v>
      </c>
      <c r="C106" s="7"/>
    </row>
    <row r="107" spans="1:3" x14ac:dyDescent="0.25">
      <c r="A107" s="6" t="s">
        <v>115</v>
      </c>
      <c r="B107" s="7">
        <v>1468</v>
      </c>
      <c r="C107" s="7"/>
    </row>
    <row r="108" spans="1:3" x14ac:dyDescent="0.25">
      <c r="A108" s="6" t="s">
        <v>110</v>
      </c>
      <c r="B108" s="7">
        <v>1150</v>
      </c>
      <c r="C108" s="7"/>
    </row>
    <row r="109" spans="1:3" x14ac:dyDescent="0.25">
      <c r="A109" s="6" t="s">
        <v>79</v>
      </c>
      <c r="B109" s="7">
        <v>169</v>
      </c>
      <c r="C109" s="7"/>
    </row>
    <row r="110" spans="1:3" x14ac:dyDescent="0.25">
      <c r="A110" s="6" t="s">
        <v>56</v>
      </c>
      <c r="B110" s="7">
        <v>230</v>
      </c>
      <c r="C110" s="7"/>
    </row>
    <row r="111" spans="1:3" x14ac:dyDescent="0.25">
      <c r="A111" s="6" t="s">
        <v>34</v>
      </c>
      <c r="B111" s="7">
        <v>187.5</v>
      </c>
      <c r="C111" s="7"/>
    </row>
    <row r="112" spans="1:3" x14ac:dyDescent="0.25">
      <c r="A112" s="6" t="s">
        <v>55</v>
      </c>
      <c r="B112" s="7">
        <v>1732</v>
      </c>
      <c r="C112" s="7"/>
    </row>
    <row r="113" spans="1:3" x14ac:dyDescent="0.25">
      <c r="A113" s="6" t="s">
        <v>125</v>
      </c>
      <c r="B113" s="7">
        <v>1186.8928571428571</v>
      </c>
      <c r="C113" s="7">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8576"/>
  <sheetViews>
    <sheetView workbookViewId="0">
      <pane ySplit="1" topLeftCell="A114" activePane="bottomLeft" state="frozen"/>
      <selection activeCell="E1" sqref="E1"/>
      <selection pane="bottomLeft" activeCell="F13" sqref="F13"/>
    </sheetView>
  </sheetViews>
  <sheetFormatPr defaultRowHeight="15" x14ac:dyDescent="0.25"/>
  <cols>
    <col min="1" max="1" width="45" customWidth="1"/>
    <col min="2" max="2" width="14.140625" customWidth="1"/>
    <col min="3" max="3" width="18" customWidth="1"/>
    <col min="4" max="4" width="15.140625" customWidth="1"/>
    <col min="5" max="5" width="18" customWidth="1"/>
    <col min="6" max="6" width="9.140625" style="4"/>
    <col min="7" max="7" width="18.7109375" customWidth="1"/>
    <col min="8" max="8" width="22.85546875" customWidth="1"/>
    <col min="9" max="9" width="20.140625" customWidth="1"/>
  </cols>
  <sheetData>
    <row r="1" spans="1:9" ht="15.75" x14ac:dyDescent="0.25">
      <c r="A1" s="2" t="s">
        <v>0</v>
      </c>
      <c r="B1" s="3" t="s">
        <v>1</v>
      </c>
      <c r="C1" s="3" t="s">
        <v>2</v>
      </c>
      <c r="D1" s="3" t="s">
        <v>81</v>
      </c>
      <c r="E1" s="2" t="s">
        <v>120</v>
      </c>
      <c r="F1" s="3" t="s">
        <v>3</v>
      </c>
      <c r="G1" s="2" t="s">
        <v>80</v>
      </c>
      <c r="H1" s="3" t="s">
        <v>82</v>
      </c>
      <c r="I1" s="2" t="s">
        <v>116</v>
      </c>
    </row>
    <row r="2" spans="1:9" x14ac:dyDescent="0.25">
      <c r="A2" t="s">
        <v>78</v>
      </c>
      <c r="B2" s="4">
        <v>199</v>
      </c>
      <c r="C2" s="4">
        <v>553</v>
      </c>
      <c r="D2" s="4">
        <f t="shared" ref="D2:D33" si="0">C2-B2</f>
        <v>354</v>
      </c>
      <c r="E2" s="1">
        <v>0.64</v>
      </c>
      <c r="H2" t="str">
        <f>IF(G2="","Not Reviewed",IF(G2&gt;=4.5,"Excellent",IF(G2&gt;=3,"Average","Poor")))</f>
        <v>Not Reviewed</v>
      </c>
      <c r="I2" t="str">
        <f>IF(E2&gt;40%,"High Discount",IF(E2&gt;=20%,"Medium Discount","Low Discount"))</f>
        <v>High Discount</v>
      </c>
    </row>
    <row r="3" spans="1:9" x14ac:dyDescent="0.25">
      <c r="A3" t="s">
        <v>34</v>
      </c>
      <c r="B3" s="4">
        <v>199</v>
      </c>
      <c r="C3" s="4">
        <v>504</v>
      </c>
      <c r="D3" s="4">
        <f t="shared" si="0"/>
        <v>305</v>
      </c>
      <c r="E3" s="1">
        <v>0.61</v>
      </c>
      <c r="H3" t="str">
        <f t="shared" ref="H3:H66" si="1">IF(G3="","Not Reviewed",IF(G3&gt;=4.5,"Excellent",IF(G3&gt;=3,"Average","Poor")))</f>
        <v>Not Reviewed</v>
      </c>
      <c r="I3" t="str">
        <f t="shared" ref="I3:I66" si="2">IF(E3&gt;40%,"High Discount",IF(E3&gt;=20%,"Medium Discount","Low Discount"))</f>
        <v>High Discount</v>
      </c>
    </row>
    <row r="4" spans="1:9" x14ac:dyDescent="0.25">
      <c r="A4" t="s">
        <v>88</v>
      </c>
      <c r="B4" s="4">
        <v>2115</v>
      </c>
      <c r="C4" s="4">
        <v>4700</v>
      </c>
      <c r="D4" s="4">
        <f t="shared" si="0"/>
        <v>2585</v>
      </c>
      <c r="E4" s="1">
        <v>0.55000000000000004</v>
      </c>
      <c r="F4" s="4">
        <v>13</v>
      </c>
      <c r="G4">
        <v>2.1</v>
      </c>
      <c r="H4" t="str">
        <f t="shared" si="1"/>
        <v>Poor</v>
      </c>
      <c r="I4" t="str">
        <f t="shared" si="2"/>
        <v>High Discount</v>
      </c>
    </row>
    <row r="5" spans="1:9" x14ac:dyDescent="0.25">
      <c r="A5" t="s">
        <v>8</v>
      </c>
      <c r="B5" s="4">
        <v>1274</v>
      </c>
      <c r="C5" s="4">
        <v>2800</v>
      </c>
      <c r="D5" s="4">
        <f t="shared" si="0"/>
        <v>1526</v>
      </c>
      <c r="E5" s="1">
        <v>0.55000000000000004</v>
      </c>
      <c r="F5" s="4">
        <v>5</v>
      </c>
      <c r="G5">
        <v>4.8</v>
      </c>
      <c r="H5" t="str">
        <f t="shared" si="1"/>
        <v>Excellent</v>
      </c>
      <c r="I5" t="str">
        <f t="shared" si="2"/>
        <v>High Discount</v>
      </c>
    </row>
    <row r="6" spans="1:9" x14ac:dyDescent="0.25">
      <c r="A6" t="s">
        <v>39</v>
      </c>
      <c r="B6" s="4">
        <v>399</v>
      </c>
      <c r="C6" s="4">
        <v>896</v>
      </c>
      <c r="D6" s="4">
        <f t="shared" si="0"/>
        <v>497</v>
      </c>
      <c r="E6" s="1">
        <v>0.55000000000000004</v>
      </c>
      <c r="H6" t="str">
        <f t="shared" si="1"/>
        <v>Not Reviewed</v>
      </c>
      <c r="I6" t="str">
        <f t="shared" si="2"/>
        <v>High Discount</v>
      </c>
    </row>
    <row r="7" spans="1:9" x14ac:dyDescent="0.25">
      <c r="A7" t="s">
        <v>21</v>
      </c>
      <c r="B7" s="4">
        <v>2048</v>
      </c>
      <c r="C7" s="4">
        <v>4500</v>
      </c>
      <c r="D7" s="4">
        <f t="shared" si="0"/>
        <v>2452</v>
      </c>
      <c r="E7" s="1">
        <v>0.54</v>
      </c>
      <c r="F7" s="4">
        <v>7</v>
      </c>
      <c r="G7">
        <v>4.3</v>
      </c>
      <c r="H7" t="str">
        <f t="shared" si="1"/>
        <v>Average</v>
      </c>
      <c r="I7" t="str">
        <f t="shared" si="2"/>
        <v>High Discount</v>
      </c>
    </row>
    <row r="8" spans="1:9" x14ac:dyDescent="0.25">
      <c r="A8" t="s">
        <v>43</v>
      </c>
      <c r="B8" s="4">
        <v>458</v>
      </c>
      <c r="C8" s="4">
        <v>986</v>
      </c>
      <c r="D8" s="4">
        <f t="shared" si="0"/>
        <v>528</v>
      </c>
      <c r="E8" s="1">
        <v>0.54</v>
      </c>
      <c r="F8" s="4">
        <v>10</v>
      </c>
      <c r="G8">
        <v>3</v>
      </c>
      <c r="H8" t="str">
        <f t="shared" si="1"/>
        <v>Average</v>
      </c>
      <c r="I8" t="str">
        <f t="shared" si="2"/>
        <v>High Discount</v>
      </c>
    </row>
    <row r="9" spans="1:9" x14ac:dyDescent="0.25">
      <c r="A9" t="s">
        <v>18</v>
      </c>
      <c r="B9" s="4">
        <v>38</v>
      </c>
      <c r="C9" s="4">
        <v>80</v>
      </c>
      <c r="D9" s="4">
        <f t="shared" si="0"/>
        <v>42</v>
      </c>
      <c r="E9" s="1">
        <v>0.53</v>
      </c>
      <c r="F9" s="4">
        <v>13</v>
      </c>
      <c r="G9">
        <v>3.3</v>
      </c>
      <c r="H9" t="str">
        <f t="shared" si="1"/>
        <v>Average</v>
      </c>
      <c r="I9" t="str">
        <f t="shared" si="2"/>
        <v>High Discount</v>
      </c>
    </row>
    <row r="10" spans="1:9" x14ac:dyDescent="0.25">
      <c r="A10" t="s">
        <v>28</v>
      </c>
      <c r="B10" s="4">
        <v>171</v>
      </c>
      <c r="C10" s="4">
        <v>360</v>
      </c>
      <c r="D10" s="4">
        <f t="shared" si="0"/>
        <v>189</v>
      </c>
      <c r="E10" s="1">
        <v>0.53</v>
      </c>
      <c r="F10" s="4">
        <v>2</v>
      </c>
      <c r="G10">
        <v>5</v>
      </c>
      <c r="H10" t="str">
        <f t="shared" si="1"/>
        <v>Excellent</v>
      </c>
      <c r="I10" t="str">
        <f t="shared" si="2"/>
        <v>High Discount</v>
      </c>
    </row>
    <row r="11" spans="1:9" x14ac:dyDescent="0.25">
      <c r="A11" t="s">
        <v>89</v>
      </c>
      <c r="B11" s="4">
        <v>185</v>
      </c>
      <c r="C11" s="4">
        <v>382</v>
      </c>
      <c r="D11" s="4">
        <f t="shared" si="0"/>
        <v>197</v>
      </c>
      <c r="E11" s="1">
        <v>0.52</v>
      </c>
      <c r="F11" s="4">
        <v>9</v>
      </c>
      <c r="G11">
        <v>4.3</v>
      </c>
      <c r="H11" t="str">
        <f t="shared" si="1"/>
        <v>Average</v>
      </c>
      <c r="I11" t="str">
        <f t="shared" si="2"/>
        <v>High Discount</v>
      </c>
    </row>
    <row r="12" spans="1:9" x14ac:dyDescent="0.25">
      <c r="A12" t="s">
        <v>45</v>
      </c>
      <c r="B12" s="4">
        <v>325</v>
      </c>
      <c r="C12" s="4">
        <v>680</v>
      </c>
      <c r="D12" s="4">
        <f t="shared" si="0"/>
        <v>355</v>
      </c>
      <c r="E12" s="1">
        <v>0.52</v>
      </c>
      <c r="F12" s="4">
        <v>15</v>
      </c>
      <c r="G12">
        <v>2.7</v>
      </c>
      <c r="H12" t="str">
        <f t="shared" si="1"/>
        <v>Poor</v>
      </c>
      <c r="I12" t="str">
        <f t="shared" si="2"/>
        <v>High Discount</v>
      </c>
    </row>
    <row r="13" spans="1:9" x14ac:dyDescent="0.25">
      <c r="A13" t="s">
        <v>99</v>
      </c>
      <c r="B13" s="4">
        <v>332</v>
      </c>
      <c r="C13" s="4">
        <v>684</v>
      </c>
      <c r="D13" s="4">
        <f t="shared" si="0"/>
        <v>352</v>
      </c>
      <c r="E13" s="1">
        <v>0.51</v>
      </c>
      <c r="F13" s="4">
        <v>2</v>
      </c>
      <c r="G13">
        <v>5</v>
      </c>
      <c r="H13" t="str">
        <f t="shared" si="1"/>
        <v>Excellent</v>
      </c>
      <c r="I13" t="str">
        <f t="shared" si="2"/>
        <v>High Discount</v>
      </c>
    </row>
    <row r="14" spans="1:9" x14ac:dyDescent="0.25">
      <c r="A14" t="s">
        <v>106</v>
      </c>
      <c r="B14" s="4">
        <v>1200</v>
      </c>
      <c r="C14" s="4">
        <v>2400</v>
      </c>
      <c r="D14" s="4">
        <f t="shared" si="0"/>
        <v>1200</v>
      </c>
      <c r="E14" s="1">
        <v>0.5</v>
      </c>
      <c r="H14" t="str">
        <f t="shared" si="1"/>
        <v>Not Reviewed</v>
      </c>
      <c r="I14" t="str">
        <f t="shared" si="2"/>
        <v>High Discount</v>
      </c>
    </row>
    <row r="15" spans="1:9" x14ac:dyDescent="0.25">
      <c r="A15" t="s">
        <v>48</v>
      </c>
      <c r="B15" s="4">
        <v>1000</v>
      </c>
      <c r="C15" s="4">
        <v>2000</v>
      </c>
      <c r="D15" s="4">
        <f t="shared" si="0"/>
        <v>1000</v>
      </c>
      <c r="E15" s="1">
        <v>0.5</v>
      </c>
      <c r="F15" s="4">
        <v>7</v>
      </c>
      <c r="G15">
        <v>2.2999999999999998</v>
      </c>
      <c r="H15" t="str">
        <f t="shared" si="1"/>
        <v>Poor</v>
      </c>
      <c r="I15" t="str">
        <f t="shared" si="2"/>
        <v>High Discount</v>
      </c>
    </row>
    <row r="16" spans="1:9" x14ac:dyDescent="0.25">
      <c r="A16" t="s">
        <v>35</v>
      </c>
      <c r="B16" s="4">
        <v>299</v>
      </c>
      <c r="C16" s="4">
        <v>600</v>
      </c>
      <c r="D16" s="4">
        <f t="shared" si="0"/>
        <v>301</v>
      </c>
      <c r="E16" s="1">
        <v>0.5</v>
      </c>
      <c r="H16" t="str">
        <f t="shared" si="1"/>
        <v>Not Reviewed</v>
      </c>
      <c r="I16" t="str">
        <f t="shared" si="2"/>
        <v>High Discount</v>
      </c>
    </row>
    <row r="17" spans="1:9" x14ac:dyDescent="0.25">
      <c r="A17" t="s">
        <v>31</v>
      </c>
      <c r="B17" s="4">
        <v>999</v>
      </c>
      <c r="C17" s="4">
        <v>2000</v>
      </c>
      <c r="D17" s="4">
        <f t="shared" si="0"/>
        <v>1001</v>
      </c>
      <c r="E17" s="1">
        <v>0.5</v>
      </c>
      <c r="H17" t="str">
        <f t="shared" si="1"/>
        <v>Not Reviewed</v>
      </c>
      <c r="I17" t="str">
        <f t="shared" si="2"/>
        <v>High Discount</v>
      </c>
    </row>
    <row r="18" spans="1:9" x14ac:dyDescent="0.25">
      <c r="A18" t="s">
        <v>111</v>
      </c>
      <c r="B18" s="4">
        <v>238</v>
      </c>
      <c r="C18" s="4">
        <v>476</v>
      </c>
      <c r="D18" s="4">
        <f t="shared" si="0"/>
        <v>238</v>
      </c>
      <c r="E18" s="1">
        <v>0.5</v>
      </c>
      <c r="H18" t="str">
        <f t="shared" si="1"/>
        <v>Not Reviewed</v>
      </c>
      <c r="I18" t="str">
        <f t="shared" si="2"/>
        <v>High Discount</v>
      </c>
    </row>
    <row r="19" spans="1:9" x14ac:dyDescent="0.25">
      <c r="A19" t="s">
        <v>63</v>
      </c>
      <c r="B19" s="4">
        <v>850</v>
      </c>
      <c r="C19" s="4">
        <v>1700</v>
      </c>
      <c r="D19" s="4">
        <f t="shared" si="0"/>
        <v>850</v>
      </c>
      <c r="E19" s="1">
        <v>0.5</v>
      </c>
      <c r="H19" t="str">
        <f t="shared" si="1"/>
        <v>Not Reviewed</v>
      </c>
      <c r="I19" t="str">
        <f t="shared" si="2"/>
        <v>High Discount</v>
      </c>
    </row>
    <row r="20" spans="1:9" x14ac:dyDescent="0.25">
      <c r="A20" t="s">
        <v>103</v>
      </c>
      <c r="B20" s="4">
        <v>450</v>
      </c>
      <c r="C20" s="4">
        <v>900</v>
      </c>
      <c r="D20" s="4">
        <f t="shared" si="0"/>
        <v>450</v>
      </c>
      <c r="E20" s="1">
        <v>0.5</v>
      </c>
      <c r="F20" s="4">
        <v>1</v>
      </c>
      <c r="G20">
        <v>2</v>
      </c>
      <c r="H20" t="str">
        <f t="shared" si="1"/>
        <v>Poor</v>
      </c>
      <c r="I20" t="str">
        <f t="shared" si="2"/>
        <v>High Discount</v>
      </c>
    </row>
    <row r="21" spans="1:9" x14ac:dyDescent="0.25">
      <c r="A21" t="s">
        <v>44</v>
      </c>
      <c r="B21" s="4">
        <v>445</v>
      </c>
      <c r="C21" s="4">
        <v>873</v>
      </c>
      <c r="D21" s="4">
        <f t="shared" si="0"/>
        <v>428</v>
      </c>
      <c r="E21" s="1">
        <v>0.49</v>
      </c>
      <c r="F21" s="4">
        <v>69</v>
      </c>
      <c r="G21">
        <v>2.8</v>
      </c>
      <c r="H21" t="str">
        <f t="shared" si="1"/>
        <v>Poor</v>
      </c>
      <c r="I21" t="str">
        <f t="shared" si="2"/>
        <v>High Discount</v>
      </c>
    </row>
    <row r="22" spans="1:9" x14ac:dyDescent="0.25">
      <c r="A22" t="s">
        <v>17</v>
      </c>
      <c r="B22" s="4">
        <v>998</v>
      </c>
      <c r="C22" s="4">
        <v>1966</v>
      </c>
      <c r="D22" s="4">
        <f t="shared" si="0"/>
        <v>968</v>
      </c>
      <c r="E22" s="1">
        <v>0.49</v>
      </c>
      <c r="F22" s="4">
        <v>44</v>
      </c>
      <c r="G22">
        <v>4.5999999999999996</v>
      </c>
      <c r="H22" t="str">
        <f t="shared" si="1"/>
        <v>Excellent</v>
      </c>
      <c r="I22" t="str">
        <f t="shared" si="2"/>
        <v>High Discount</v>
      </c>
    </row>
    <row r="23" spans="1:9" x14ac:dyDescent="0.25">
      <c r="A23" t="s">
        <v>69</v>
      </c>
      <c r="B23" s="4">
        <v>248</v>
      </c>
      <c r="C23" s="4">
        <v>486</v>
      </c>
      <c r="D23" s="4">
        <f t="shared" si="0"/>
        <v>238</v>
      </c>
      <c r="E23" s="1">
        <v>0.49</v>
      </c>
      <c r="H23" t="str">
        <f t="shared" si="1"/>
        <v>Not Reviewed</v>
      </c>
      <c r="I23" t="str">
        <f t="shared" si="2"/>
        <v>High Discount</v>
      </c>
    </row>
    <row r="24" spans="1:9" x14ac:dyDescent="0.25">
      <c r="A24" t="s">
        <v>107</v>
      </c>
      <c r="B24" s="4">
        <v>475</v>
      </c>
      <c r="C24" s="4">
        <v>931</v>
      </c>
      <c r="D24" s="4">
        <f t="shared" si="0"/>
        <v>456</v>
      </c>
      <c r="E24" s="1">
        <v>0.49</v>
      </c>
      <c r="H24" t="str">
        <f t="shared" si="1"/>
        <v>Not Reviewed</v>
      </c>
      <c r="I24" t="str">
        <f t="shared" si="2"/>
        <v>High Discount</v>
      </c>
    </row>
    <row r="25" spans="1:9" x14ac:dyDescent="0.25">
      <c r="A25" t="s">
        <v>56</v>
      </c>
      <c r="B25" s="4">
        <v>230</v>
      </c>
      <c r="C25" s="4">
        <v>450</v>
      </c>
      <c r="D25" s="4">
        <f t="shared" si="0"/>
        <v>220</v>
      </c>
      <c r="E25" s="1">
        <v>0.49</v>
      </c>
      <c r="H25" t="str">
        <f t="shared" si="1"/>
        <v>Not Reviewed</v>
      </c>
      <c r="I25" t="str">
        <f t="shared" si="2"/>
        <v>High Discount</v>
      </c>
    </row>
    <row r="26" spans="1:9" x14ac:dyDescent="0.25">
      <c r="A26" t="s">
        <v>41</v>
      </c>
      <c r="B26" s="4">
        <v>799</v>
      </c>
      <c r="C26" s="4">
        <v>1567</v>
      </c>
      <c r="D26" s="4">
        <f t="shared" si="0"/>
        <v>768</v>
      </c>
      <c r="E26" s="1">
        <v>0.49</v>
      </c>
      <c r="H26" t="str">
        <f t="shared" si="1"/>
        <v>Not Reviewed</v>
      </c>
      <c r="I26" t="str">
        <f t="shared" si="2"/>
        <v>High Discount</v>
      </c>
    </row>
    <row r="27" spans="1:9" x14ac:dyDescent="0.25">
      <c r="A27" t="s">
        <v>41</v>
      </c>
      <c r="B27" s="4">
        <v>657</v>
      </c>
      <c r="C27" s="4">
        <v>1288</v>
      </c>
      <c r="D27" s="4">
        <f t="shared" si="0"/>
        <v>631</v>
      </c>
      <c r="E27" s="1">
        <v>0.49</v>
      </c>
      <c r="H27" t="str">
        <f t="shared" si="1"/>
        <v>Not Reviewed</v>
      </c>
      <c r="I27" t="str">
        <f t="shared" si="2"/>
        <v>High Discount</v>
      </c>
    </row>
    <row r="28" spans="1:9" x14ac:dyDescent="0.25">
      <c r="A28" t="s">
        <v>71</v>
      </c>
      <c r="B28" s="4">
        <v>525</v>
      </c>
      <c r="C28" s="4">
        <v>1029</v>
      </c>
      <c r="D28" s="4">
        <f t="shared" si="0"/>
        <v>504</v>
      </c>
      <c r="E28" s="1">
        <v>0.49</v>
      </c>
      <c r="H28" t="str">
        <f t="shared" si="1"/>
        <v>Not Reviewed</v>
      </c>
      <c r="I28" t="str">
        <f t="shared" si="2"/>
        <v>High Discount</v>
      </c>
    </row>
    <row r="29" spans="1:9" x14ac:dyDescent="0.25">
      <c r="A29" t="s">
        <v>100</v>
      </c>
      <c r="B29" s="4">
        <v>979</v>
      </c>
      <c r="C29" s="4">
        <v>1920</v>
      </c>
      <c r="D29" s="4">
        <f t="shared" si="0"/>
        <v>941</v>
      </c>
      <c r="E29" s="1">
        <v>0.49</v>
      </c>
      <c r="F29" s="4">
        <v>1</v>
      </c>
      <c r="G29">
        <v>5</v>
      </c>
      <c r="H29" t="str">
        <f t="shared" si="1"/>
        <v>Excellent</v>
      </c>
      <c r="I29" t="str">
        <f t="shared" si="2"/>
        <v>High Discount</v>
      </c>
    </row>
    <row r="30" spans="1:9" x14ac:dyDescent="0.25">
      <c r="A30" t="s">
        <v>32</v>
      </c>
      <c r="B30" s="4">
        <v>671</v>
      </c>
      <c r="C30" s="4">
        <v>1316</v>
      </c>
      <c r="D30" s="4">
        <f t="shared" si="0"/>
        <v>645</v>
      </c>
      <c r="E30" s="1">
        <v>0.49</v>
      </c>
      <c r="H30" t="str">
        <f t="shared" si="1"/>
        <v>Not Reviewed</v>
      </c>
      <c r="I30" t="str">
        <f t="shared" si="2"/>
        <v>High Discount</v>
      </c>
    </row>
    <row r="31" spans="1:9" x14ac:dyDescent="0.25">
      <c r="A31" t="s">
        <v>61</v>
      </c>
      <c r="B31" s="4">
        <v>274</v>
      </c>
      <c r="C31" s="4">
        <v>537</v>
      </c>
      <c r="D31" s="4">
        <f t="shared" si="0"/>
        <v>263</v>
      </c>
      <c r="E31" s="1">
        <v>0.49</v>
      </c>
      <c r="H31" t="str">
        <f t="shared" si="1"/>
        <v>Not Reviewed</v>
      </c>
      <c r="I31" t="str">
        <f t="shared" si="2"/>
        <v>High Discount</v>
      </c>
    </row>
    <row r="32" spans="1:9" x14ac:dyDescent="0.25">
      <c r="A32" t="s">
        <v>34</v>
      </c>
      <c r="B32" s="4">
        <v>176</v>
      </c>
      <c r="C32" s="4">
        <v>345</v>
      </c>
      <c r="D32" s="4">
        <f t="shared" si="0"/>
        <v>169</v>
      </c>
      <c r="E32" s="1">
        <v>0.49</v>
      </c>
      <c r="H32" t="str">
        <f t="shared" si="1"/>
        <v>Not Reviewed</v>
      </c>
      <c r="I32" t="str">
        <f t="shared" si="2"/>
        <v>High Discount</v>
      </c>
    </row>
    <row r="33" spans="1:9" x14ac:dyDescent="0.25">
      <c r="A33" t="s">
        <v>59</v>
      </c>
      <c r="B33" s="4">
        <v>330</v>
      </c>
      <c r="C33" s="4">
        <v>647</v>
      </c>
      <c r="D33" s="4">
        <f t="shared" si="0"/>
        <v>317</v>
      </c>
      <c r="E33" s="1">
        <v>0.49</v>
      </c>
      <c r="F33" s="4">
        <v>1</v>
      </c>
      <c r="G33">
        <v>4</v>
      </c>
      <c r="H33" t="str">
        <f t="shared" si="1"/>
        <v>Average</v>
      </c>
      <c r="I33" t="str">
        <f t="shared" si="2"/>
        <v>High Discount</v>
      </c>
    </row>
    <row r="34" spans="1:9" x14ac:dyDescent="0.25">
      <c r="A34" t="s">
        <v>97</v>
      </c>
      <c r="B34" s="4">
        <v>2025</v>
      </c>
      <c r="C34" s="4">
        <v>3971</v>
      </c>
      <c r="D34" s="4">
        <f t="shared" ref="D34:D65" si="3">C34-B34</f>
        <v>1946</v>
      </c>
      <c r="E34" s="1">
        <v>0.49</v>
      </c>
      <c r="F34" s="4">
        <v>3</v>
      </c>
      <c r="G34">
        <v>5</v>
      </c>
      <c r="H34" t="str">
        <f t="shared" si="1"/>
        <v>Excellent</v>
      </c>
      <c r="I34" t="str">
        <f t="shared" si="2"/>
        <v>High Discount</v>
      </c>
    </row>
    <row r="35" spans="1:9" x14ac:dyDescent="0.25">
      <c r="A35" t="s">
        <v>40</v>
      </c>
      <c r="B35" s="4">
        <v>699</v>
      </c>
      <c r="C35" s="4">
        <v>1343</v>
      </c>
      <c r="D35" s="4">
        <f t="shared" si="3"/>
        <v>644</v>
      </c>
      <c r="E35" s="1">
        <v>0.48</v>
      </c>
      <c r="H35" t="str">
        <f t="shared" si="1"/>
        <v>Not Reviewed</v>
      </c>
      <c r="I35" t="str">
        <f t="shared" si="2"/>
        <v>High Discount</v>
      </c>
    </row>
    <row r="36" spans="1:9" x14ac:dyDescent="0.25">
      <c r="A36" t="s">
        <v>90</v>
      </c>
      <c r="B36" s="4">
        <v>1820</v>
      </c>
      <c r="C36" s="4">
        <v>3490</v>
      </c>
      <c r="D36" s="4">
        <f t="shared" si="3"/>
        <v>1670</v>
      </c>
      <c r="E36" s="1">
        <v>0.48</v>
      </c>
      <c r="F36" s="4">
        <v>9</v>
      </c>
      <c r="G36">
        <v>4.3</v>
      </c>
      <c r="H36" t="str">
        <f t="shared" si="1"/>
        <v>Average</v>
      </c>
      <c r="I36" t="str">
        <f t="shared" si="2"/>
        <v>High Discount</v>
      </c>
    </row>
    <row r="37" spans="1:9" x14ac:dyDescent="0.25">
      <c r="A37" t="s">
        <v>64</v>
      </c>
      <c r="B37" s="4">
        <v>1300</v>
      </c>
      <c r="C37" s="4">
        <v>2500</v>
      </c>
      <c r="D37" s="4">
        <f t="shared" si="3"/>
        <v>1200</v>
      </c>
      <c r="E37" s="1">
        <v>0.48</v>
      </c>
      <c r="H37" t="str">
        <f t="shared" si="1"/>
        <v>Not Reviewed</v>
      </c>
      <c r="I37" t="str">
        <f t="shared" si="2"/>
        <v>High Discount</v>
      </c>
    </row>
    <row r="38" spans="1:9" x14ac:dyDescent="0.25">
      <c r="A38" t="s">
        <v>65</v>
      </c>
      <c r="B38" s="4">
        <v>105</v>
      </c>
      <c r="C38" s="4">
        <v>200</v>
      </c>
      <c r="D38" s="4">
        <f t="shared" si="3"/>
        <v>95</v>
      </c>
      <c r="E38" s="1">
        <v>0.48</v>
      </c>
      <c r="H38" t="str">
        <f t="shared" si="1"/>
        <v>Not Reviewed</v>
      </c>
      <c r="I38" t="str">
        <f t="shared" si="2"/>
        <v>High Discount</v>
      </c>
    </row>
    <row r="39" spans="1:9" x14ac:dyDescent="0.25">
      <c r="A39" t="s">
        <v>53</v>
      </c>
      <c r="B39" s="4">
        <v>790</v>
      </c>
      <c r="C39" s="4">
        <v>1485</v>
      </c>
      <c r="D39" s="4">
        <f t="shared" si="3"/>
        <v>695</v>
      </c>
      <c r="E39" s="1">
        <v>0.47</v>
      </c>
      <c r="H39" t="str">
        <f t="shared" si="1"/>
        <v>Not Reviewed</v>
      </c>
      <c r="I39" t="str">
        <f t="shared" si="2"/>
        <v>High Discount</v>
      </c>
    </row>
    <row r="40" spans="1:9" x14ac:dyDescent="0.25">
      <c r="A40" t="s">
        <v>12</v>
      </c>
      <c r="B40" s="4">
        <v>552</v>
      </c>
      <c r="C40" s="4">
        <v>1035</v>
      </c>
      <c r="D40" s="4">
        <f t="shared" si="3"/>
        <v>483</v>
      </c>
      <c r="E40" s="1">
        <v>0.47</v>
      </c>
      <c r="F40" s="4">
        <v>12</v>
      </c>
      <c r="G40">
        <v>4.8</v>
      </c>
      <c r="H40" t="str">
        <f t="shared" si="1"/>
        <v>Excellent</v>
      </c>
      <c r="I40" t="str">
        <f t="shared" si="2"/>
        <v>High Discount</v>
      </c>
    </row>
    <row r="41" spans="1:9" x14ac:dyDescent="0.25">
      <c r="A41" t="s">
        <v>66</v>
      </c>
      <c r="B41" s="4">
        <v>899</v>
      </c>
      <c r="C41" s="4">
        <v>1699</v>
      </c>
      <c r="D41" s="4">
        <f t="shared" si="3"/>
        <v>800</v>
      </c>
      <c r="E41" s="1">
        <v>0.47</v>
      </c>
      <c r="H41" t="str">
        <f t="shared" si="1"/>
        <v>Not Reviewed</v>
      </c>
      <c r="I41" t="str">
        <f t="shared" si="2"/>
        <v>High Discount</v>
      </c>
    </row>
    <row r="42" spans="1:9" x14ac:dyDescent="0.25">
      <c r="A42" t="s">
        <v>93</v>
      </c>
      <c r="B42" s="4">
        <v>968</v>
      </c>
      <c r="C42" s="4">
        <v>1814</v>
      </c>
      <c r="D42" s="4">
        <f t="shared" si="3"/>
        <v>846</v>
      </c>
      <c r="E42" s="1">
        <v>0.47</v>
      </c>
      <c r="F42" s="4">
        <v>6</v>
      </c>
      <c r="G42">
        <v>2.2000000000000002</v>
      </c>
      <c r="H42" t="str">
        <f t="shared" si="1"/>
        <v>Poor</v>
      </c>
      <c r="I42" t="str">
        <f t="shared" si="2"/>
        <v>High Discount</v>
      </c>
    </row>
    <row r="43" spans="1:9" x14ac:dyDescent="0.25">
      <c r="A43" t="s">
        <v>79</v>
      </c>
      <c r="B43" s="4">
        <v>169</v>
      </c>
      <c r="C43" s="4">
        <v>320</v>
      </c>
      <c r="D43" s="4">
        <f t="shared" si="3"/>
        <v>151</v>
      </c>
      <c r="E43" s="1">
        <v>0.47</v>
      </c>
      <c r="H43" t="str">
        <f t="shared" si="1"/>
        <v>Not Reviewed</v>
      </c>
      <c r="I43" t="str">
        <f t="shared" si="2"/>
        <v>High Discount</v>
      </c>
    </row>
    <row r="44" spans="1:9" x14ac:dyDescent="0.25">
      <c r="A44" t="s">
        <v>91</v>
      </c>
      <c r="B44" s="4">
        <v>1570</v>
      </c>
      <c r="C44" s="4">
        <v>2988</v>
      </c>
      <c r="D44" s="4">
        <f t="shared" si="3"/>
        <v>1418</v>
      </c>
      <c r="E44" s="1">
        <v>0.47</v>
      </c>
      <c r="F44" s="4">
        <v>7</v>
      </c>
      <c r="G44">
        <v>2.1</v>
      </c>
      <c r="H44" t="str">
        <f t="shared" si="1"/>
        <v>Poor</v>
      </c>
      <c r="I44" t="str">
        <f t="shared" si="2"/>
        <v>High Discount</v>
      </c>
    </row>
    <row r="45" spans="1:9" x14ac:dyDescent="0.25">
      <c r="A45" t="s">
        <v>87</v>
      </c>
      <c r="B45" s="4">
        <v>527</v>
      </c>
      <c r="C45" s="4">
        <v>999</v>
      </c>
      <c r="D45" s="4">
        <f t="shared" si="3"/>
        <v>472</v>
      </c>
      <c r="E45" s="1">
        <v>0.47</v>
      </c>
      <c r="F45" s="4">
        <v>14</v>
      </c>
      <c r="G45">
        <v>4.0999999999999996</v>
      </c>
      <c r="H45" t="str">
        <f t="shared" si="1"/>
        <v>Average</v>
      </c>
      <c r="I45" t="str">
        <f t="shared" si="2"/>
        <v>High Discount</v>
      </c>
    </row>
    <row r="46" spans="1:9" x14ac:dyDescent="0.25">
      <c r="A46" t="s">
        <v>102</v>
      </c>
      <c r="B46" s="4">
        <v>1189</v>
      </c>
      <c r="C46" s="4">
        <v>2199</v>
      </c>
      <c r="D46" s="4">
        <f t="shared" si="3"/>
        <v>1010</v>
      </c>
      <c r="E46" s="1">
        <v>0.46</v>
      </c>
      <c r="F46" s="4">
        <v>1</v>
      </c>
      <c r="G46">
        <v>3</v>
      </c>
      <c r="H46" t="str">
        <f t="shared" si="1"/>
        <v>Average</v>
      </c>
      <c r="I46" t="str">
        <f t="shared" si="2"/>
        <v>High Discount</v>
      </c>
    </row>
    <row r="47" spans="1:9" x14ac:dyDescent="0.25">
      <c r="A47" t="s">
        <v>112</v>
      </c>
      <c r="B47" s="4">
        <v>2200</v>
      </c>
      <c r="C47" s="4">
        <v>4080</v>
      </c>
      <c r="D47" s="4">
        <f t="shared" si="3"/>
        <v>1880</v>
      </c>
      <c r="E47" s="1">
        <v>0.46</v>
      </c>
      <c r="H47" t="str">
        <f t="shared" si="1"/>
        <v>Not Reviewed</v>
      </c>
      <c r="I47" t="str">
        <f t="shared" si="2"/>
        <v>High Discount</v>
      </c>
    </row>
    <row r="48" spans="1:9" x14ac:dyDescent="0.25">
      <c r="A48" t="s">
        <v>15</v>
      </c>
      <c r="B48" s="4">
        <v>195</v>
      </c>
      <c r="C48" s="4">
        <v>360</v>
      </c>
      <c r="D48" s="4">
        <f t="shared" si="3"/>
        <v>165</v>
      </c>
      <c r="E48" s="1">
        <v>0.46</v>
      </c>
      <c r="F48" s="4">
        <v>2</v>
      </c>
      <c r="G48">
        <v>5</v>
      </c>
      <c r="H48" t="str">
        <f t="shared" si="1"/>
        <v>Excellent</v>
      </c>
      <c r="I48" t="str">
        <f t="shared" si="2"/>
        <v>High Discount</v>
      </c>
    </row>
    <row r="49" spans="1:9" x14ac:dyDescent="0.25">
      <c r="A49" t="s">
        <v>9</v>
      </c>
      <c r="B49" s="4">
        <v>1600</v>
      </c>
      <c r="C49" s="4">
        <v>2929</v>
      </c>
      <c r="D49" s="4">
        <f t="shared" si="3"/>
        <v>1329</v>
      </c>
      <c r="E49" s="1">
        <v>0.45</v>
      </c>
      <c r="F49" s="4">
        <v>5</v>
      </c>
      <c r="G49">
        <v>3.8</v>
      </c>
      <c r="H49" t="str">
        <f t="shared" si="1"/>
        <v>Average</v>
      </c>
      <c r="I49" t="str">
        <f t="shared" si="2"/>
        <v>High Discount</v>
      </c>
    </row>
    <row r="50" spans="1:9" x14ac:dyDescent="0.25">
      <c r="A50" t="s">
        <v>49</v>
      </c>
      <c r="B50" s="4">
        <v>382</v>
      </c>
      <c r="C50" s="4">
        <v>700</v>
      </c>
      <c r="D50" s="4">
        <f t="shared" si="3"/>
        <v>318</v>
      </c>
      <c r="E50" s="1">
        <v>0.45</v>
      </c>
      <c r="F50" s="4">
        <v>17</v>
      </c>
      <c r="G50">
        <v>2.6</v>
      </c>
      <c r="H50" t="str">
        <f t="shared" si="1"/>
        <v>Poor</v>
      </c>
      <c r="I50" t="str">
        <f t="shared" si="2"/>
        <v>High Discount</v>
      </c>
    </row>
    <row r="51" spans="1:9" x14ac:dyDescent="0.25">
      <c r="A51" t="s">
        <v>47</v>
      </c>
      <c r="B51" s="4">
        <v>990</v>
      </c>
      <c r="C51" s="4">
        <v>1814</v>
      </c>
      <c r="D51" s="4">
        <f t="shared" si="3"/>
        <v>824</v>
      </c>
      <c r="E51" s="1">
        <v>0.45</v>
      </c>
      <c r="F51" s="4">
        <v>6</v>
      </c>
      <c r="G51">
        <v>2.2000000000000002</v>
      </c>
      <c r="H51" t="str">
        <f t="shared" si="1"/>
        <v>Poor</v>
      </c>
      <c r="I51" t="str">
        <f t="shared" si="2"/>
        <v>High Discount</v>
      </c>
    </row>
    <row r="52" spans="1:9" x14ac:dyDescent="0.25">
      <c r="A52" t="s">
        <v>39</v>
      </c>
      <c r="B52" s="4">
        <v>499</v>
      </c>
      <c r="C52" s="4">
        <v>900</v>
      </c>
      <c r="D52" s="4">
        <f t="shared" si="3"/>
        <v>401</v>
      </c>
      <c r="E52" s="1">
        <v>0.45</v>
      </c>
      <c r="H52" t="str">
        <f t="shared" si="1"/>
        <v>Not Reviewed</v>
      </c>
      <c r="I52" t="str">
        <f t="shared" si="2"/>
        <v>High Discount</v>
      </c>
    </row>
    <row r="53" spans="1:9" x14ac:dyDescent="0.25">
      <c r="A53" t="s">
        <v>54</v>
      </c>
      <c r="B53" s="4">
        <v>690</v>
      </c>
      <c r="C53" s="4">
        <v>1200</v>
      </c>
      <c r="D53" s="4">
        <f t="shared" si="3"/>
        <v>510</v>
      </c>
      <c r="E53" s="1">
        <v>0.43</v>
      </c>
      <c r="H53" t="str">
        <f t="shared" si="1"/>
        <v>Not Reviewed</v>
      </c>
      <c r="I53" t="str">
        <f t="shared" si="2"/>
        <v>High Discount</v>
      </c>
    </row>
    <row r="54" spans="1:9" x14ac:dyDescent="0.25">
      <c r="A54" t="s">
        <v>62</v>
      </c>
      <c r="B54" s="4">
        <v>630</v>
      </c>
      <c r="C54" s="4">
        <v>1100</v>
      </c>
      <c r="D54" s="4">
        <f t="shared" si="3"/>
        <v>470</v>
      </c>
      <c r="E54" s="1">
        <v>0.43</v>
      </c>
      <c r="H54" t="str">
        <f t="shared" si="1"/>
        <v>Not Reviewed</v>
      </c>
      <c r="I54" t="str">
        <f t="shared" si="2"/>
        <v>High Discount</v>
      </c>
    </row>
    <row r="55" spans="1:9" x14ac:dyDescent="0.25">
      <c r="A55" t="s">
        <v>51</v>
      </c>
      <c r="B55" s="4">
        <v>345</v>
      </c>
      <c r="C55" s="4">
        <v>602</v>
      </c>
      <c r="D55" s="4">
        <f t="shared" si="3"/>
        <v>257</v>
      </c>
      <c r="E55" s="1">
        <v>0.43</v>
      </c>
      <c r="F55" s="4">
        <v>6</v>
      </c>
      <c r="G55">
        <v>2.2999999999999998</v>
      </c>
      <c r="H55" t="str">
        <f t="shared" si="1"/>
        <v>Poor</v>
      </c>
      <c r="I55" t="str">
        <f t="shared" si="2"/>
        <v>High Discount</v>
      </c>
    </row>
    <row r="56" spans="1:9" x14ac:dyDescent="0.25">
      <c r="A56" t="s">
        <v>52</v>
      </c>
      <c r="B56" s="4">
        <v>509</v>
      </c>
      <c r="C56" s="4">
        <v>899</v>
      </c>
      <c r="D56" s="4">
        <f t="shared" si="3"/>
        <v>390</v>
      </c>
      <c r="E56" s="1">
        <v>0.43</v>
      </c>
      <c r="F56" s="4">
        <v>5</v>
      </c>
      <c r="G56">
        <v>3</v>
      </c>
      <c r="H56" t="str">
        <f t="shared" si="1"/>
        <v>Average</v>
      </c>
      <c r="I56" t="str">
        <f t="shared" si="2"/>
        <v>High Discount</v>
      </c>
    </row>
    <row r="57" spans="1:9" x14ac:dyDescent="0.25">
      <c r="A57" t="s">
        <v>19</v>
      </c>
      <c r="B57" s="4">
        <v>1860</v>
      </c>
      <c r="C57" s="4">
        <v>3220</v>
      </c>
      <c r="D57" s="4">
        <f t="shared" si="3"/>
        <v>1360</v>
      </c>
      <c r="E57" s="1">
        <v>0.42</v>
      </c>
      <c r="H57" t="str">
        <f t="shared" si="1"/>
        <v>Not Reviewed</v>
      </c>
      <c r="I57" t="str">
        <f t="shared" si="2"/>
        <v>High Discount</v>
      </c>
    </row>
    <row r="58" spans="1:9" x14ac:dyDescent="0.25">
      <c r="A58" t="s">
        <v>72</v>
      </c>
      <c r="B58" s="4">
        <v>1080</v>
      </c>
      <c r="C58" s="4">
        <v>1874</v>
      </c>
      <c r="D58" s="4">
        <f t="shared" si="3"/>
        <v>794</v>
      </c>
      <c r="E58" s="1">
        <v>0.42</v>
      </c>
      <c r="H58" t="str">
        <f t="shared" si="1"/>
        <v>Not Reviewed</v>
      </c>
      <c r="I58" t="str">
        <f t="shared" si="2"/>
        <v>High Discount</v>
      </c>
    </row>
    <row r="59" spans="1:9" x14ac:dyDescent="0.25">
      <c r="A59" t="s">
        <v>29</v>
      </c>
      <c r="B59" s="4">
        <v>610</v>
      </c>
      <c r="C59" s="4">
        <v>1060</v>
      </c>
      <c r="D59" s="4">
        <f t="shared" si="3"/>
        <v>450</v>
      </c>
      <c r="E59" s="1">
        <v>0.42</v>
      </c>
      <c r="H59" t="str">
        <f t="shared" si="1"/>
        <v>Not Reviewed</v>
      </c>
      <c r="I59" t="str">
        <f t="shared" si="2"/>
        <v>High Discount</v>
      </c>
    </row>
    <row r="60" spans="1:9" x14ac:dyDescent="0.25">
      <c r="A60" t="s">
        <v>13</v>
      </c>
      <c r="B60" s="4">
        <v>501</v>
      </c>
      <c r="C60" s="4">
        <v>860</v>
      </c>
      <c r="D60" s="4">
        <f t="shared" si="3"/>
        <v>359</v>
      </c>
      <c r="E60" s="1">
        <v>0.42</v>
      </c>
      <c r="F60" s="4">
        <v>6</v>
      </c>
      <c r="G60">
        <v>4.5</v>
      </c>
      <c r="H60" t="str">
        <f t="shared" si="1"/>
        <v>Excellent</v>
      </c>
      <c r="I60" t="str">
        <f t="shared" si="2"/>
        <v>High Discount</v>
      </c>
    </row>
    <row r="61" spans="1:9" x14ac:dyDescent="0.25">
      <c r="A61" t="s">
        <v>73</v>
      </c>
      <c r="B61" s="4">
        <v>1420</v>
      </c>
      <c r="C61" s="4">
        <v>2420</v>
      </c>
      <c r="D61" s="4">
        <f t="shared" si="3"/>
        <v>1000</v>
      </c>
      <c r="E61" s="1">
        <v>0.41</v>
      </c>
      <c r="H61" t="str">
        <f t="shared" si="1"/>
        <v>Not Reviewed</v>
      </c>
      <c r="I61" t="str">
        <f t="shared" si="2"/>
        <v>High Discount</v>
      </c>
    </row>
    <row r="62" spans="1:9" x14ac:dyDescent="0.25">
      <c r="A62" t="s">
        <v>38</v>
      </c>
      <c r="B62" s="4">
        <v>799</v>
      </c>
      <c r="C62" s="4">
        <v>1343</v>
      </c>
      <c r="D62" s="4">
        <f t="shared" si="3"/>
        <v>544</v>
      </c>
      <c r="E62" s="1">
        <v>0.41</v>
      </c>
      <c r="H62" t="str">
        <f t="shared" si="1"/>
        <v>Not Reviewed</v>
      </c>
      <c r="I62" t="str">
        <f t="shared" si="2"/>
        <v>High Discount</v>
      </c>
    </row>
    <row r="63" spans="1:9" x14ac:dyDescent="0.25">
      <c r="A63" t="s">
        <v>83</v>
      </c>
      <c r="B63" s="4">
        <v>389</v>
      </c>
      <c r="C63" s="4">
        <v>656</v>
      </c>
      <c r="D63" s="4">
        <f t="shared" si="3"/>
        <v>267</v>
      </c>
      <c r="E63" s="1">
        <v>0.41</v>
      </c>
      <c r="F63" s="4">
        <v>36</v>
      </c>
      <c r="G63">
        <v>4.3</v>
      </c>
      <c r="H63" t="str">
        <f t="shared" si="1"/>
        <v>Average</v>
      </c>
      <c r="I63" t="str">
        <f t="shared" si="2"/>
        <v>High Discount</v>
      </c>
    </row>
    <row r="64" spans="1:9" x14ac:dyDescent="0.25">
      <c r="A64" t="s">
        <v>27</v>
      </c>
      <c r="B64" s="4">
        <v>1620</v>
      </c>
      <c r="C64" s="4">
        <v>2690</v>
      </c>
      <c r="D64" s="4">
        <f t="shared" si="3"/>
        <v>1070</v>
      </c>
      <c r="E64" s="1">
        <v>0.4</v>
      </c>
      <c r="F64" s="4">
        <v>1</v>
      </c>
      <c r="G64">
        <v>5</v>
      </c>
      <c r="H64" t="str">
        <f t="shared" si="1"/>
        <v>Excellent</v>
      </c>
      <c r="I64" t="str">
        <f t="shared" si="2"/>
        <v>Medium Discount</v>
      </c>
    </row>
    <row r="65" spans="1:9" x14ac:dyDescent="0.25">
      <c r="A65" t="s">
        <v>95</v>
      </c>
      <c r="B65" s="4">
        <v>3750</v>
      </c>
      <c r="C65" s="4">
        <v>6143</v>
      </c>
      <c r="D65" s="4">
        <f t="shared" si="3"/>
        <v>2393</v>
      </c>
      <c r="E65" s="1">
        <v>0.39</v>
      </c>
      <c r="F65" s="4">
        <v>5</v>
      </c>
      <c r="G65">
        <v>3</v>
      </c>
      <c r="H65" t="str">
        <f t="shared" si="1"/>
        <v>Average</v>
      </c>
      <c r="I65" t="str">
        <f t="shared" si="2"/>
        <v>Medium Discount</v>
      </c>
    </row>
    <row r="66" spans="1:9" x14ac:dyDescent="0.25">
      <c r="A66" t="s">
        <v>98</v>
      </c>
      <c r="B66" s="4">
        <v>1800</v>
      </c>
      <c r="C66" s="4">
        <v>2700</v>
      </c>
      <c r="D66" s="4">
        <f t="shared" ref="D66:D97" si="4">C66-B66</f>
        <v>900</v>
      </c>
      <c r="E66" s="1">
        <v>0.38</v>
      </c>
      <c r="F66" s="4">
        <v>2</v>
      </c>
      <c r="G66">
        <v>4.5</v>
      </c>
      <c r="H66" t="str">
        <f t="shared" si="1"/>
        <v>Excellent</v>
      </c>
      <c r="I66" t="str">
        <f t="shared" si="2"/>
        <v>Medium Discount</v>
      </c>
    </row>
    <row r="67" spans="1:9" x14ac:dyDescent="0.25">
      <c r="A67" t="s">
        <v>4</v>
      </c>
      <c r="B67" s="4">
        <v>950</v>
      </c>
      <c r="C67" s="4">
        <v>1525</v>
      </c>
      <c r="D67" s="4">
        <f t="shared" si="4"/>
        <v>575</v>
      </c>
      <c r="E67" s="1">
        <v>0.38</v>
      </c>
      <c r="F67" s="4">
        <v>2</v>
      </c>
      <c r="G67">
        <v>4.5</v>
      </c>
      <c r="H67" t="str">
        <f t="shared" ref="H67:H113" si="5">IF(G67="","Not Reviewed",IF(G67&gt;=4.5,"Excellent",IF(G67&gt;=3,"Average","Poor")))</f>
        <v>Excellent</v>
      </c>
      <c r="I67" t="str">
        <f t="shared" ref="I67:I113" si="6">IF(E67&gt;40%,"High Discount",IF(E67&gt;=20%,"Medium Discount","Low Discount"))</f>
        <v>Medium Discount</v>
      </c>
    </row>
    <row r="68" spans="1:9" x14ac:dyDescent="0.25">
      <c r="A68" t="s">
        <v>33</v>
      </c>
      <c r="B68" s="4">
        <v>1200</v>
      </c>
      <c r="C68" s="4">
        <v>1950</v>
      </c>
      <c r="D68" s="4">
        <f t="shared" si="4"/>
        <v>750</v>
      </c>
      <c r="E68" s="1">
        <v>0.38</v>
      </c>
      <c r="H68" t="str">
        <f t="shared" si="5"/>
        <v>Not Reviewed</v>
      </c>
      <c r="I68" t="str">
        <f t="shared" si="6"/>
        <v>Medium Discount</v>
      </c>
    </row>
    <row r="69" spans="1:9" x14ac:dyDescent="0.25">
      <c r="A69" t="s">
        <v>109</v>
      </c>
      <c r="B69" s="4">
        <v>2750</v>
      </c>
      <c r="C69" s="4">
        <v>4471</v>
      </c>
      <c r="D69" s="4">
        <f t="shared" si="4"/>
        <v>1721</v>
      </c>
      <c r="E69" s="1">
        <v>0.38</v>
      </c>
      <c r="H69" t="str">
        <f t="shared" si="5"/>
        <v>Not Reviewed</v>
      </c>
      <c r="I69" t="str">
        <f t="shared" si="6"/>
        <v>Medium Discount</v>
      </c>
    </row>
    <row r="70" spans="1:9" x14ac:dyDescent="0.25">
      <c r="A70" t="s">
        <v>7</v>
      </c>
      <c r="B70" s="4">
        <v>988</v>
      </c>
      <c r="C70" s="4">
        <v>1580</v>
      </c>
      <c r="D70" s="4">
        <f t="shared" si="4"/>
        <v>592</v>
      </c>
      <c r="E70" s="1">
        <v>0.37</v>
      </c>
      <c r="F70" s="4">
        <v>2</v>
      </c>
      <c r="G70">
        <v>4</v>
      </c>
      <c r="H70" t="str">
        <f t="shared" si="5"/>
        <v>Average</v>
      </c>
      <c r="I70" t="str">
        <f t="shared" si="6"/>
        <v>Medium Discount</v>
      </c>
    </row>
    <row r="71" spans="1:9" x14ac:dyDescent="0.25">
      <c r="A71" t="s">
        <v>92</v>
      </c>
      <c r="B71" s="4">
        <v>1580</v>
      </c>
      <c r="C71" s="4">
        <v>2499</v>
      </c>
      <c r="D71" s="4">
        <f t="shared" si="4"/>
        <v>919</v>
      </c>
      <c r="E71" s="1">
        <v>0.37</v>
      </c>
      <c r="F71" s="4">
        <v>7</v>
      </c>
      <c r="G71">
        <v>4.7</v>
      </c>
      <c r="H71" t="str">
        <f t="shared" si="5"/>
        <v>Excellent</v>
      </c>
      <c r="I71" t="str">
        <f t="shared" si="6"/>
        <v>Medium Discount</v>
      </c>
    </row>
    <row r="72" spans="1:9" x14ac:dyDescent="0.25">
      <c r="A72" t="s">
        <v>57</v>
      </c>
      <c r="B72" s="4">
        <v>1460</v>
      </c>
      <c r="C72" s="4">
        <v>2290</v>
      </c>
      <c r="D72" s="4">
        <f t="shared" si="4"/>
        <v>830</v>
      </c>
      <c r="E72" s="1">
        <v>0.36</v>
      </c>
      <c r="H72" t="str">
        <f t="shared" si="5"/>
        <v>Not Reviewed</v>
      </c>
      <c r="I72" t="str">
        <f t="shared" si="6"/>
        <v>Medium Discount</v>
      </c>
    </row>
    <row r="73" spans="1:9" x14ac:dyDescent="0.25">
      <c r="A73" t="s">
        <v>22</v>
      </c>
      <c r="B73" s="4">
        <v>420</v>
      </c>
      <c r="C73" s="4">
        <v>647</v>
      </c>
      <c r="D73" s="4">
        <f t="shared" si="4"/>
        <v>227</v>
      </c>
      <c r="E73" s="1">
        <v>0.35</v>
      </c>
      <c r="F73" s="4">
        <v>49</v>
      </c>
      <c r="G73">
        <v>4.5999999999999996</v>
      </c>
      <c r="H73" t="str">
        <f t="shared" si="5"/>
        <v>Excellent</v>
      </c>
      <c r="I73" t="str">
        <f t="shared" si="6"/>
        <v>Medium Discount</v>
      </c>
    </row>
    <row r="74" spans="1:9" x14ac:dyDescent="0.25">
      <c r="A74" t="s">
        <v>94</v>
      </c>
      <c r="B74" s="4">
        <v>880</v>
      </c>
      <c r="C74" s="4">
        <v>1350</v>
      </c>
      <c r="D74" s="4">
        <f t="shared" si="4"/>
        <v>470</v>
      </c>
      <c r="E74" s="1">
        <v>0.35</v>
      </c>
      <c r="F74" s="4">
        <v>6</v>
      </c>
      <c r="G74">
        <v>4</v>
      </c>
      <c r="H74" t="str">
        <f t="shared" si="5"/>
        <v>Average</v>
      </c>
      <c r="I74" t="str">
        <f t="shared" si="6"/>
        <v>Medium Discount</v>
      </c>
    </row>
    <row r="75" spans="1:9" x14ac:dyDescent="0.25">
      <c r="A75" t="s">
        <v>11</v>
      </c>
      <c r="B75" s="4">
        <v>990</v>
      </c>
      <c r="C75" s="4">
        <v>1500</v>
      </c>
      <c r="D75" s="4">
        <f t="shared" si="4"/>
        <v>510</v>
      </c>
      <c r="E75" s="1">
        <v>0.34</v>
      </c>
      <c r="F75" s="4">
        <v>39</v>
      </c>
      <c r="G75">
        <v>4.7</v>
      </c>
      <c r="H75" t="str">
        <f t="shared" si="5"/>
        <v>Excellent</v>
      </c>
      <c r="I75" t="str">
        <f t="shared" si="6"/>
        <v>Medium Discount</v>
      </c>
    </row>
    <row r="76" spans="1:9" x14ac:dyDescent="0.25">
      <c r="A76" t="s">
        <v>26</v>
      </c>
      <c r="B76" s="4">
        <v>980</v>
      </c>
      <c r="C76" s="4">
        <v>1490</v>
      </c>
      <c r="D76" s="4">
        <f t="shared" si="4"/>
        <v>510</v>
      </c>
      <c r="E76" s="1">
        <v>0.34</v>
      </c>
      <c r="F76" s="4">
        <v>12</v>
      </c>
      <c r="G76">
        <v>4.7</v>
      </c>
      <c r="H76" t="str">
        <f t="shared" si="5"/>
        <v>Excellent</v>
      </c>
      <c r="I76" t="str">
        <f t="shared" si="6"/>
        <v>Medium Discount</v>
      </c>
    </row>
    <row r="77" spans="1:9" x14ac:dyDescent="0.25">
      <c r="A77" t="s">
        <v>75</v>
      </c>
      <c r="B77" s="4">
        <v>1190</v>
      </c>
      <c r="C77" s="4">
        <v>1810</v>
      </c>
      <c r="D77" s="4">
        <f t="shared" si="4"/>
        <v>620</v>
      </c>
      <c r="E77" s="1">
        <v>0.34</v>
      </c>
      <c r="H77" t="str">
        <f t="shared" si="5"/>
        <v>Not Reviewed</v>
      </c>
      <c r="I77" t="str">
        <f t="shared" si="6"/>
        <v>Medium Discount</v>
      </c>
    </row>
    <row r="78" spans="1:9" x14ac:dyDescent="0.25">
      <c r="A78" t="s">
        <v>110</v>
      </c>
      <c r="B78" s="4">
        <v>1150</v>
      </c>
      <c r="C78" s="4">
        <v>1737</v>
      </c>
      <c r="D78" s="4">
        <f t="shared" si="4"/>
        <v>587</v>
      </c>
      <c r="E78" s="1">
        <v>0.34</v>
      </c>
      <c r="H78" t="str">
        <f t="shared" si="5"/>
        <v>Not Reviewed</v>
      </c>
      <c r="I78" t="str">
        <f t="shared" si="6"/>
        <v>Medium Discount</v>
      </c>
    </row>
    <row r="79" spans="1:9" x14ac:dyDescent="0.25">
      <c r="A79" t="s">
        <v>108</v>
      </c>
      <c r="B79" s="4">
        <v>1190</v>
      </c>
      <c r="C79" s="4">
        <v>1785</v>
      </c>
      <c r="D79" s="4">
        <f t="shared" si="4"/>
        <v>595</v>
      </c>
      <c r="E79" s="1">
        <v>0.33</v>
      </c>
      <c r="H79" t="str">
        <f t="shared" si="5"/>
        <v>Not Reviewed</v>
      </c>
      <c r="I79" t="str">
        <f t="shared" si="6"/>
        <v>Medium Discount</v>
      </c>
    </row>
    <row r="80" spans="1:9" x14ac:dyDescent="0.25">
      <c r="A80" t="s">
        <v>14</v>
      </c>
      <c r="B80" s="4">
        <v>1680</v>
      </c>
      <c r="C80" s="4">
        <v>2499</v>
      </c>
      <c r="D80" s="4">
        <f t="shared" si="4"/>
        <v>819</v>
      </c>
      <c r="E80" s="1">
        <v>0.33</v>
      </c>
      <c r="F80" s="4">
        <v>9</v>
      </c>
      <c r="G80">
        <v>4.2</v>
      </c>
      <c r="H80" t="str">
        <f t="shared" si="5"/>
        <v>Average</v>
      </c>
      <c r="I80" t="str">
        <f t="shared" si="6"/>
        <v>Medium Discount</v>
      </c>
    </row>
    <row r="81" spans="1:9" x14ac:dyDescent="0.25">
      <c r="A81" t="s">
        <v>24</v>
      </c>
      <c r="B81" s="4">
        <v>1350</v>
      </c>
      <c r="C81" s="4">
        <v>1990</v>
      </c>
      <c r="D81" s="4">
        <f t="shared" si="4"/>
        <v>640</v>
      </c>
      <c r="E81" s="1">
        <v>0.32</v>
      </c>
      <c r="F81" s="4">
        <v>13</v>
      </c>
      <c r="G81">
        <v>3.8</v>
      </c>
      <c r="H81" t="str">
        <f t="shared" si="5"/>
        <v>Average</v>
      </c>
      <c r="I81" t="str">
        <f t="shared" si="6"/>
        <v>Medium Discount</v>
      </c>
    </row>
    <row r="82" spans="1:9" x14ac:dyDescent="0.25">
      <c r="A82" t="s">
        <v>25</v>
      </c>
      <c r="B82" s="4">
        <v>1758</v>
      </c>
      <c r="C82" s="4">
        <v>2499</v>
      </c>
      <c r="D82" s="4">
        <f t="shared" si="4"/>
        <v>741</v>
      </c>
      <c r="E82" s="1">
        <v>0.3</v>
      </c>
      <c r="F82" s="4">
        <v>20</v>
      </c>
      <c r="G82">
        <v>4.0999999999999996</v>
      </c>
      <c r="H82" t="str">
        <f t="shared" si="5"/>
        <v>Average</v>
      </c>
      <c r="I82" t="str">
        <f t="shared" si="6"/>
        <v>Medium Discount</v>
      </c>
    </row>
    <row r="83" spans="1:9" x14ac:dyDescent="0.25">
      <c r="A83" t="s">
        <v>50</v>
      </c>
      <c r="B83" s="4">
        <v>2300</v>
      </c>
      <c r="C83" s="4">
        <v>3240</v>
      </c>
      <c r="D83" s="4">
        <f t="shared" si="4"/>
        <v>940</v>
      </c>
      <c r="E83" s="1">
        <v>0.28999999999999998</v>
      </c>
      <c r="F83" s="4">
        <v>5</v>
      </c>
      <c r="G83">
        <v>3</v>
      </c>
      <c r="H83" t="str">
        <f t="shared" si="5"/>
        <v>Average</v>
      </c>
      <c r="I83" t="str">
        <f t="shared" si="6"/>
        <v>Medium Discount</v>
      </c>
    </row>
    <row r="84" spans="1:9" x14ac:dyDescent="0.25">
      <c r="A84" t="s">
        <v>104</v>
      </c>
      <c r="B84" s="4">
        <v>2799</v>
      </c>
      <c r="C84" s="4">
        <v>3810</v>
      </c>
      <c r="D84" s="4">
        <f t="shared" si="4"/>
        <v>1011</v>
      </c>
      <c r="E84" s="1">
        <v>0.27</v>
      </c>
      <c r="H84" t="str">
        <f t="shared" si="5"/>
        <v>Not Reviewed</v>
      </c>
      <c r="I84" t="str">
        <f t="shared" si="6"/>
        <v>Medium Discount</v>
      </c>
    </row>
    <row r="85" spans="1:9" x14ac:dyDescent="0.25">
      <c r="A85" t="s">
        <v>84</v>
      </c>
      <c r="B85" s="4">
        <v>1980</v>
      </c>
      <c r="C85" s="4">
        <v>2699</v>
      </c>
      <c r="D85" s="4">
        <f t="shared" si="4"/>
        <v>719</v>
      </c>
      <c r="E85" s="1">
        <v>0.27</v>
      </c>
      <c r="F85" s="4">
        <v>32</v>
      </c>
      <c r="G85">
        <v>4.5</v>
      </c>
      <c r="H85" t="str">
        <f t="shared" si="5"/>
        <v>Excellent</v>
      </c>
      <c r="I85" t="str">
        <f t="shared" si="6"/>
        <v>Medium Discount</v>
      </c>
    </row>
    <row r="86" spans="1:9" x14ac:dyDescent="0.25">
      <c r="A86" t="s">
        <v>86</v>
      </c>
      <c r="B86" s="4">
        <v>1940</v>
      </c>
      <c r="C86" s="4">
        <v>2650</v>
      </c>
      <c r="D86" s="4">
        <f t="shared" si="4"/>
        <v>710</v>
      </c>
      <c r="E86" s="1">
        <v>0.27</v>
      </c>
      <c r="F86" s="4">
        <v>20</v>
      </c>
      <c r="G86">
        <v>4.7</v>
      </c>
      <c r="H86" t="str">
        <f t="shared" si="5"/>
        <v>Excellent</v>
      </c>
      <c r="I86" t="str">
        <f t="shared" si="6"/>
        <v>Medium Discount</v>
      </c>
    </row>
    <row r="87" spans="1:9" x14ac:dyDescent="0.25">
      <c r="A87" t="s">
        <v>96</v>
      </c>
      <c r="B87" s="4">
        <v>1740</v>
      </c>
      <c r="C87" s="4">
        <v>2356</v>
      </c>
      <c r="D87" s="4">
        <f t="shared" si="4"/>
        <v>616</v>
      </c>
      <c r="E87" s="1">
        <v>0.26</v>
      </c>
      <c r="F87" s="4">
        <v>5</v>
      </c>
      <c r="G87">
        <v>4.8</v>
      </c>
      <c r="H87" t="str">
        <f t="shared" si="5"/>
        <v>Excellent</v>
      </c>
      <c r="I87" t="str">
        <f t="shared" si="6"/>
        <v>Medium Discount</v>
      </c>
    </row>
    <row r="88" spans="1:9" x14ac:dyDescent="0.25">
      <c r="A88" t="s">
        <v>85</v>
      </c>
      <c r="B88" s="4">
        <v>2199</v>
      </c>
      <c r="C88" s="4">
        <v>2923</v>
      </c>
      <c r="D88" s="4">
        <f t="shared" si="4"/>
        <v>724</v>
      </c>
      <c r="E88" s="1">
        <v>0.25</v>
      </c>
      <c r="F88" s="4">
        <v>24</v>
      </c>
      <c r="G88">
        <v>4.5999999999999996</v>
      </c>
      <c r="H88" t="str">
        <f t="shared" si="5"/>
        <v>Excellent</v>
      </c>
      <c r="I88" t="str">
        <f t="shared" si="6"/>
        <v>Medium Discount</v>
      </c>
    </row>
    <row r="89" spans="1:9" x14ac:dyDescent="0.25">
      <c r="A89" t="s">
        <v>6</v>
      </c>
      <c r="B89" s="4">
        <v>2319</v>
      </c>
      <c r="C89" s="4">
        <v>3032</v>
      </c>
      <c r="D89" s="4">
        <f t="shared" si="4"/>
        <v>713</v>
      </c>
      <c r="E89" s="1">
        <v>0.24</v>
      </c>
      <c r="F89" s="4">
        <v>55</v>
      </c>
      <c r="G89">
        <v>4.5999999999999996</v>
      </c>
      <c r="H89" t="str">
        <f t="shared" si="5"/>
        <v>Excellent</v>
      </c>
      <c r="I89" t="str">
        <f t="shared" si="6"/>
        <v>Medium Discount</v>
      </c>
    </row>
    <row r="90" spans="1:9" x14ac:dyDescent="0.25">
      <c r="A90" t="s">
        <v>74</v>
      </c>
      <c r="B90" s="4">
        <v>198</v>
      </c>
      <c r="C90" s="4">
        <v>260</v>
      </c>
      <c r="D90" s="4">
        <f t="shared" si="4"/>
        <v>62</v>
      </c>
      <c r="E90" s="1">
        <v>0.24</v>
      </c>
      <c r="H90" t="str">
        <f t="shared" si="5"/>
        <v>Not Reviewed</v>
      </c>
      <c r="I90" t="str">
        <f t="shared" si="6"/>
        <v>Medium Discount</v>
      </c>
    </row>
    <row r="91" spans="1:9" x14ac:dyDescent="0.25">
      <c r="A91" t="s">
        <v>20</v>
      </c>
      <c r="B91" s="4">
        <v>1650</v>
      </c>
      <c r="C91" s="4">
        <v>2150</v>
      </c>
      <c r="D91" s="4">
        <f t="shared" si="4"/>
        <v>500</v>
      </c>
      <c r="E91" s="1">
        <v>0.23</v>
      </c>
      <c r="F91" s="4">
        <v>14</v>
      </c>
      <c r="G91">
        <v>4.4000000000000004</v>
      </c>
      <c r="H91" t="str">
        <f t="shared" si="5"/>
        <v>Average</v>
      </c>
      <c r="I91" t="str">
        <f t="shared" si="6"/>
        <v>Medium Discount</v>
      </c>
    </row>
    <row r="92" spans="1:9" x14ac:dyDescent="0.25">
      <c r="A92" t="s">
        <v>37</v>
      </c>
      <c r="B92" s="4">
        <v>299</v>
      </c>
      <c r="C92" s="4">
        <v>384</v>
      </c>
      <c r="D92" s="4">
        <f t="shared" si="4"/>
        <v>85</v>
      </c>
      <c r="E92" s="1">
        <v>0.22</v>
      </c>
      <c r="H92" t="str">
        <f t="shared" si="5"/>
        <v>Not Reviewed</v>
      </c>
      <c r="I92" t="str">
        <f t="shared" si="6"/>
        <v>Medium Discount</v>
      </c>
    </row>
    <row r="93" spans="1:9" x14ac:dyDescent="0.25">
      <c r="A93" t="s">
        <v>46</v>
      </c>
      <c r="B93" s="4">
        <v>1220</v>
      </c>
      <c r="C93" s="4">
        <v>1555</v>
      </c>
      <c r="D93" s="4">
        <f t="shared" si="4"/>
        <v>335</v>
      </c>
      <c r="E93" s="1">
        <v>0.22</v>
      </c>
      <c r="F93" s="4">
        <v>16</v>
      </c>
      <c r="G93">
        <v>2.9</v>
      </c>
      <c r="H93" t="str">
        <f t="shared" si="5"/>
        <v>Poor</v>
      </c>
      <c r="I93" t="str">
        <f t="shared" si="6"/>
        <v>Medium Discount</v>
      </c>
    </row>
    <row r="94" spans="1:9" x14ac:dyDescent="0.25">
      <c r="A94" t="s">
        <v>101</v>
      </c>
      <c r="B94" s="4">
        <v>3640</v>
      </c>
      <c r="C94" s="4">
        <v>4588</v>
      </c>
      <c r="D94" s="4">
        <f t="shared" si="4"/>
        <v>948</v>
      </c>
      <c r="E94" s="1">
        <v>0.21</v>
      </c>
      <c r="F94" s="4">
        <v>1</v>
      </c>
      <c r="G94">
        <v>5</v>
      </c>
      <c r="H94" t="str">
        <f t="shared" si="5"/>
        <v>Excellent</v>
      </c>
      <c r="I94" t="str">
        <f t="shared" si="6"/>
        <v>Medium Discount</v>
      </c>
    </row>
    <row r="95" spans="1:9" x14ac:dyDescent="0.25">
      <c r="A95" t="s">
        <v>10</v>
      </c>
      <c r="B95" s="4">
        <v>799</v>
      </c>
      <c r="C95" s="4">
        <v>999</v>
      </c>
      <c r="D95" s="4">
        <f t="shared" si="4"/>
        <v>200</v>
      </c>
      <c r="E95" s="1">
        <v>0.2</v>
      </c>
      <c r="F95" s="4">
        <v>12</v>
      </c>
      <c r="G95">
        <v>4.0999999999999996</v>
      </c>
      <c r="H95" t="str">
        <f t="shared" si="5"/>
        <v>Average</v>
      </c>
      <c r="I95" t="str">
        <f t="shared" si="6"/>
        <v>Medium Discount</v>
      </c>
    </row>
    <row r="96" spans="1:9" x14ac:dyDescent="0.25">
      <c r="A96" t="s">
        <v>16</v>
      </c>
      <c r="B96" s="4">
        <v>2999</v>
      </c>
      <c r="C96" s="4">
        <v>3699</v>
      </c>
      <c r="D96" s="4">
        <f t="shared" si="4"/>
        <v>700</v>
      </c>
      <c r="E96" s="1">
        <v>0.19</v>
      </c>
      <c r="F96" s="4">
        <v>5</v>
      </c>
      <c r="G96">
        <v>4.5999999999999996</v>
      </c>
      <c r="H96" t="str">
        <f t="shared" si="5"/>
        <v>Excellent</v>
      </c>
      <c r="I96" t="str">
        <f t="shared" si="6"/>
        <v>Low Discount</v>
      </c>
    </row>
    <row r="97" spans="1:9" x14ac:dyDescent="0.25">
      <c r="A97" t="s">
        <v>23</v>
      </c>
      <c r="B97" s="4">
        <v>2880</v>
      </c>
      <c r="C97" s="4">
        <v>3520</v>
      </c>
      <c r="D97" s="4">
        <f t="shared" si="4"/>
        <v>640</v>
      </c>
      <c r="E97" s="1">
        <v>0.18</v>
      </c>
      <c r="F97" s="4">
        <v>12</v>
      </c>
      <c r="G97">
        <v>3.8</v>
      </c>
      <c r="H97" t="str">
        <f t="shared" si="5"/>
        <v>Average</v>
      </c>
      <c r="I97" t="str">
        <f t="shared" si="6"/>
        <v>Low Discount</v>
      </c>
    </row>
    <row r="98" spans="1:9" x14ac:dyDescent="0.25">
      <c r="A98" t="s">
        <v>60</v>
      </c>
      <c r="B98" s="4">
        <v>1466</v>
      </c>
      <c r="C98" s="4">
        <v>1699</v>
      </c>
      <c r="D98" s="4">
        <f t="shared" ref="D98:D113" si="7">C98-B98</f>
        <v>233</v>
      </c>
      <c r="E98" s="1">
        <v>0.14000000000000001</v>
      </c>
      <c r="H98" t="str">
        <f t="shared" si="5"/>
        <v>Not Reviewed</v>
      </c>
      <c r="I98" t="str">
        <f t="shared" si="6"/>
        <v>Low Discount</v>
      </c>
    </row>
    <row r="99" spans="1:9" x14ac:dyDescent="0.25">
      <c r="A99" t="s">
        <v>115</v>
      </c>
      <c r="B99" s="4">
        <v>1468</v>
      </c>
      <c r="C99" s="4">
        <v>1699</v>
      </c>
      <c r="D99" s="4">
        <f t="shared" si="7"/>
        <v>231</v>
      </c>
      <c r="E99" s="1">
        <v>0.14000000000000001</v>
      </c>
      <c r="H99" t="str">
        <f t="shared" si="5"/>
        <v>Not Reviewed</v>
      </c>
      <c r="I99" t="str">
        <f t="shared" si="6"/>
        <v>Low Discount</v>
      </c>
    </row>
    <row r="100" spans="1:9" x14ac:dyDescent="0.25">
      <c r="A100" t="s">
        <v>42</v>
      </c>
      <c r="B100" s="4">
        <v>2170</v>
      </c>
      <c r="C100" s="4">
        <v>2500</v>
      </c>
      <c r="D100" s="4">
        <f t="shared" si="7"/>
        <v>330</v>
      </c>
      <c r="E100" s="1">
        <v>0.13</v>
      </c>
      <c r="F100" s="4">
        <v>6</v>
      </c>
      <c r="G100">
        <v>2.5</v>
      </c>
      <c r="H100" t="str">
        <f t="shared" si="5"/>
        <v>Poor</v>
      </c>
      <c r="I100" t="str">
        <f t="shared" si="6"/>
        <v>Low Discount</v>
      </c>
    </row>
    <row r="101" spans="1:9" x14ac:dyDescent="0.25">
      <c r="A101" t="s">
        <v>114</v>
      </c>
      <c r="B101" s="4">
        <v>799</v>
      </c>
      <c r="C101" s="4">
        <v>900</v>
      </c>
      <c r="D101" s="4">
        <f t="shared" si="7"/>
        <v>101</v>
      </c>
      <c r="E101" s="1">
        <v>0.11</v>
      </c>
      <c r="H101" t="str">
        <f t="shared" si="5"/>
        <v>Not Reviewed</v>
      </c>
      <c r="I101" t="str">
        <f t="shared" si="6"/>
        <v>Low Discount</v>
      </c>
    </row>
    <row r="102" spans="1:9" x14ac:dyDescent="0.25">
      <c r="A102" t="s">
        <v>5</v>
      </c>
      <c r="B102" s="4">
        <v>2999</v>
      </c>
      <c r="C102" s="4">
        <v>3290</v>
      </c>
      <c r="D102" s="4">
        <f t="shared" si="7"/>
        <v>291</v>
      </c>
      <c r="E102" s="1">
        <v>0.09</v>
      </c>
      <c r="F102" s="4">
        <v>15</v>
      </c>
      <c r="G102">
        <v>4</v>
      </c>
      <c r="H102" t="str">
        <f t="shared" si="5"/>
        <v>Average</v>
      </c>
      <c r="I102" t="str">
        <f t="shared" si="6"/>
        <v>Low Discount</v>
      </c>
    </row>
    <row r="103" spans="1:9" x14ac:dyDescent="0.25">
      <c r="A103" t="s">
        <v>67</v>
      </c>
      <c r="B103" s="4">
        <v>1526</v>
      </c>
      <c r="C103" s="4">
        <v>1660</v>
      </c>
      <c r="D103" s="4">
        <f t="shared" si="7"/>
        <v>134</v>
      </c>
      <c r="E103" s="1">
        <v>0.08</v>
      </c>
      <c r="H103" t="str">
        <f t="shared" si="5"/>
        <v>Not Reviewed</v>
      </c>
      <c r="I103" t="str">
        <f t="shared" si="6"/>
        <v>Low Discount</v>
      </c>
    </row>
    <row r="104" spans="1:9" x14ac:dyDescent="0.25">
      <c r="A104" t="s">
        <v>55</v>
      </c>
      <c r="B104" s="4">
        <v>1732</v>
      </c>
      <c r="C104" s="4">
        <v>1799</v>
      </c>
      <c r="D104" s="4">
        <f t="shared" si="7"/>
        <v>67</v>
      </c>
      <c r="E104" s="1">
        <v>0.04</v>
      </c>
      <c r="H104" t="str">
        <f t="shared" si="5"/>
        <v>Not Reviewed</v>
      </c>
      <c r="I104" t="str">
        <f t="shared" si="6"/>
        <v>Low Discount</v>
      </c>
    </row>
    <row r="105" spans="1:9" x14ac:dyDescent="0.25">
      <c r="A105" t="s">
        <v>70</v>
      </c>
      <c r="B105" s="4">
        <v>3546</v>
      </c>
      <c r="C105" s="4">
        <v>3699</v>
      </c>
      <c r="D105" s="4">
        <f t="shared" si="7"/>
        <v>153</v>
      </c>
      <c r="E105" s="1">
        <v>0.04</v>
      </c>
      <c r="H105" t="str">
        <f t="shared" si="5"/>
        <v>Not Reviewed</v>
      </c>
      <c r="I105" t="str">
        <f t="shared" si="6"/>
        <v>Low Discount</v>
      </c>
    </row>
    <row r="106" spans="1:9" x14ac:dyDescent="0.25">
      <c r="A106" t="s">
        <v>113</v>
      </c>
      <c r="B106" s="4">
        <v>1459</v>
      </c>
      <c r="C106" s="4">
        <v>1499</v>
      </c>
      <c r="D106" s="4">
        <f t="shared" si="7"/>
        <v>40</v>
      </c>
      <c r="E106" s="1">
        <v>0.03</v>
      </c>
      <c r="H106" t="str">
        <f t="shared" si="5"/>
        <v>Not Reviewed</v>
      </c>
      <c r="I106" t="str">
        <f t="shared" si="6"/>
        <v>Low Discount</v>
      </c>
    </row>
    <row r="107" spans="1:9" x14ac:dyDescent="0.25">
      <c r="A107" t="s">
        <v>58</v>
      </c>
      <c r="B107" s="4">
        <v>1666</v>
      </c>
      <c r="C107" s="4">
        <v>1699</v>
      </c>
      <c r="D107" s="4">
        <f t="shared" si="7"/>
        <v>33</v>
      </c>
      <c r="E107" s="1">
        <v>0.02</v>
      </c>
      <c r="H107" t="str">
        <f t="shared" si="5"/>
        <v>Not Reviewed</v>
      </c>
      <c r="I107" t="str">
        <f t="shared" si="6"/>
        <v>Low Discount</v>
      </c>
    </row>
    <row r="108" spans="1:9" x14ac:dyDescent="0.25">
      <c r="A108" t="s">
        <v>36</v>
      </c>
      <c r="B108" s="4">
        <v>1660</v>
      </c>
      <c r="C108" s="4">
        <v>1699</v>
      </c>
      <c r="D108" s="4">
        <f t="shared" si="7"/>
        <v>39</v>
      </c>
      <c r="E108" s="1">
        <v>0.02</v>
      </c>
      <c r="H108" t="str">
        <f t="shared" si="5"/>
        <v>Not Reviewed</v>
      </c>
      <c r="I108" t="str">
        <f t="shared" si="6"/>
        <v>Low Discount</v>
      </c>
    </row>
    <row r="109" spans="1:9" x14ac:dyDescent="0.25">
      <c r="A109" t="s">
        <v>68</v>
      </c>
      <c r="B109" s="4">
        <v>1462</v>
      </c>
      <c r="C109" s="4">
        <v>1499</v>
      </c>
      <c r="D109" s="4">
        <f t="shared" si="7"/>
        <v>37</v>
      </c>
      <c r="E109" s="1">
        <v>0.02</v>
      </c>
      <c r="H109" t="str">
        <f t="shared" si="5"/>
        <v>Not Reviewed</v>
      </c>
      <c r="I109" t="str">
        <f t="shared" si="6"/>
        <v>Low Discount</v>
      </c>
    </row>
    <row r="110" spans="1:9" x14ac:dyDescent="0.25">
      <c r="A110" t="s">
        <v>30</v>
      </c>
      <c r="B110" s="4">
        <v>2132</v>
      </c>
      <c r="C110" s="4">
        <v>2169</v>
      </c>
      <c r="D110" s="4">
        <f t="shared" si="7"/>
        <v>37</v>
      </c>
      <c r="E110" s="1">
        <v>0.02</v>
      </c>
      <c r="H110" t="str">
        <f t="shared" si="5"/>
        <v>Not Reviewed</v>
      </c>
      <c r="I110" t="str">
        <f t="shared" si="6"/>
        <v>Low Discount</v>
      </c>
    </row>
    <row r="111" spans="1:9" x14ac:dyDescent="0.25">
      <c r="A111" t="s">
        <v>76</v>
      </c>
      <c r="B111" s="4">
        <v>1658</v>
      </c>
      <c r="C111" s="4">
        <v>1699</v>
      </c>
      <c r="D111" s="4">
        <f t="shared" si="7"/>
        <v>41</v>
      </c>
      <c r="E111" s="1">
        <v>0.02</v>
      </c>
      <c r="H111" t="str">
        <f t="shared" si="5"/>
        <v>Not Reviewed</v>
      </c>
      <c r="I111" t="str">
        <f t="shared" si="6"/>
        <v>Low Discount</v>
      </c>
    </row>
    <row r="112" spans="1:9" x14ac:dyDescent="0.25">
      <c r="A112" t="s">
        <v>77</v>
      </c>
      <c r="B112" s="4">
        <v>1768</v>
      </c>
      <c r="C112" s="4">
        <v>1799</v>
      </c>
      <c r="D112" s="4">
        <f t="shared" si="7"/>
        <v>31</v>
      </c>
      <c r="E112" s="1">
        <v>0.02</v>
      </c>
      <c r="H112" t="str">
        <f t="shared" si="5"/>
        <v>Not Reviewed</v>
      </c>
      <c r="I112" t="str">
        <f t="shared" si="6"/>
        <v>Low Discount</v>
      </c>
    </row>
    <row r="113" spans="1:11" x14ac:dyDescent="0.25">
      <c r="A113" t="s">
        <v>105</v>
      </c>
      <c r="B113" s="4">
        <v>1875</v>
      </c>
      <c r="C113" s="4">
        <v>1899</v>
      </c>
      <c r="D113" s="4">
        <f t="shared" si="7"/>
        <v>24</v>
      </c>
      <c r="E113" s="1">
        <v>0.01</v>
      </c>
      <c r="H113" t="str">
        <f t="shared" si="5"/>
        <v>Not Reviewed</v>
      </c>
      <c r="I113" t="str">
        <f t="shared" si="6"/>
        <v>Low Discount</v>
      </c>
    </row>
    <row r="116" spans="1:11" x14ac:dyDescent="0.25">
      <c r="B116" t="s">
        <v>118</v>
      </c>
      <c r="C116" t="s">
        <v>119</v>
      </c>
    </row>
    <row r="117" spans="1:11" x14ac:dyDescent="0.25">
      <c r="B117" s="4">
        <f>AVERAGE(B2:B113)</f>
        <v>1186.8928571428571</v>
      </c>
      <c r="C117" s="4">
        <f>AVERAGE(C2:C113)</f>
        <v>1811.1071428571429</v>
      </c>
      <c r="D117" s="4"/>
      <c r="E117" s="1"/>
    </row>
    <row r="118" spans="1:11" x14ac:dyDescent="0.25">
      <c r="B118" s="4"/>
    </row>
    <row r="120" spans="1:11" x14ac:dyDescent="0.25">
      <c r="B120" t="s">
        <v>117</v>
      </c>
      <c r="I120" t="s">
        <v>122</v>
      </c>
    </row>
    <row r="121" spans="1:11" x14ac:dyDescent="0.25">
      <c r="A121" t="s">
        <v>95</v>
      </c>
      <c r="B121" s="4">
        <f>MAX(B2:B113)</f>
        <v>3750</v>
      </c>
      <c r="I121">
        <f>AVERAGE(G2:G113)</f>
        <v>3.8894736842105253</v>
      </c>
    </row>
    <row r="123" spans="1:11" x14ac:dyDescent="0.25">
      <c r="B123" t="s">
        <v>123</v>
      </c>
      <c r="K123" t="s">
        <v>121</v>
      </c>
    </row>
    <row r="124" spans="1:11" x14ac:dyDescent="0.25">
      <c r="A124" t="s">
        <v>18</v>
      </c>
      <c r="B124" s="4">
        <f>MIN(B2:B113)</f>
        <v>38</v>
      </c>
      <c r="K124" s="1">
        <f>AVERAGE(E2:E113)</f>
        <v>0.36776785714285737</v>
      </c>
    </row>
    <row r="1048576" spans="2:2" x14ac:dyDescent="0.25">
      <c r="B1048576" s="4">
        <f>SUM(B2:B1048575)</f>
        <v>137906.89285714287</v>
      </c>
    </row>
  </sheetData>
  <sortState ref="A2:H113">
    <sortCondition descending="1" ref="E1"/>
  </sortState>
  <conditionalFormatting sqref="I1:I1048576">
    <cfRule type="colorScale" priority="4">
      <colorScale>
        <cfvo type="min"/>
        <cfvo type="percentile" val="50"/>
        <cfvo type="max"/>
        <color rgb="FFF8696B"/>
        <color rgb="FFFFEB84"/>
        <color rgb="FF63BE7B"/>
      </colorScale>
    </cfRule>
    <cfRule type="containsText" dxfId="2" priority="3" operator="containsText" text="High discount">
      <formula>NOT(ISERROR(SEARCH("High discount",I1)))</formula>
    </cfRule>
    <cfRule type="containsText" dxfId="1" priority="2" operator="containsText" text="Medium Discount">
      <formula>NOT(ISERROR(SEARCH("Medium Discount",I1)))</formula>
    </cfRule>
    <cfRule type="containsText" dxfId="0" priority="1" operator="containsText" text="Low Discount">
      <formula>NOT(ISERROR(SEARCH("Low Discount",I1)))</formula>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6"/>
  <sheetViews>
    <sheetView tabSelected="1" workbookViewId="0">
      <selection activeCell="E38" sqref="E38"/>
    </sheetView>
  </sheetViews>
  <sheetFormatPr defaultRowHeight="15" x14ac:dyDescent="0.25"/>
  <cols>
    <col min="1" max="16384" width="9.140625" style="8"/>
  </cols>
  <sheetData>
    <row r="6" spans="10:10" x14ac:dyDescent="0.25">
      <c r="J6"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Top 5 rated</vt:lpstr>
      <vt:lpstr>Top 5 lowest rating</vt:lpstr>
      <vt:lpstr>top 10 discount</vt:lpstr>
      <vt:lpstr>Top 10 reviewed</vt:lpstr>
      <vt:lpstr>Avr rating and review</vt:lpstr>
      <vt:lpstr>Product performance</vt:lpstr>
      <vt:lpstr>Sheet3</vt:lpstr>
      <vt:lpstr>rating vs price</vt:lpstr>
      <vt:lpstr>Clean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STUDIO</dc:creator>
  <cp:lastModifiedBy>STUDIO</cp:lastModifiedBy>
  <dcterms:created xsi:type="dcterms:W3CDTF">2026-06-06T13:59:55Z</dcterms:created>
  <dcterms:modified xsi:type="dcterms:W3CDTF">2026-06-11T18:17:03Z</dcterms:modified>
</cp:coreProperties>
</file>